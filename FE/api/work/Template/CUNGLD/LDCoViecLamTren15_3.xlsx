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E5124950-03F2-4929-8FE0-7D801638ED99}" xr6:coauthVersionLast="47" xr6:coauthVersionMax="47" xr10:uidLastSave="{00000000-0000-0000-0000-000000000000}"/>
  <bookViews>
    <workbookView xWindow="-120" yWindow="-120" windowWidth="20730" windowHeight="11160" tabRatio="852" xr2:uid="{00000000-000D-0000-FFFF-FFFF00000000}"/>
  </bookViews>
  <sheets>
    <sheet name="Bieu so 11a" sheetId="12" r:id="rId1"/>
    <sheet name="Bieu so 12a" sheetId="13" r:id="rId2"/>
    <sheet name="Bieu so 13a,b" sheetId="14" r:id="rId3"/>
    <sheet name="Bieu so 14a,b" sheetId="15" r:id="rId4"/>
    <sheet name="Bieu so 15a,b" sheetId="16" r:id="rId5"/>
  </sheets>
  <calcPr calcId="181029"/>
</workbook>
</file>

<file path=xl/calcChain.xml><?xml version="1.0" encoding="utf-8"?>
<calcChain xmlns="http://schemas.openxmlformats.org/spreadsheetml/2006/main">
  <c r="D7" i="15" l="1"/>
  <c r="E7" i="15"/>
  <c r="F7" i="15"/>
  <c r="G7" i="15"/>
  <c r="H7" i="15"/>
  <c r="H40" i="15" s="1"/>
  <c r="C7" i="15"/>
  <c r="D7" i="16"/>
  <c r="E7" i="16"/>
  <c r="F7" i="16"/>
  <c r="G7" i="16"/>
  <c r="H7" i="16"/>
  <c r="I7" i="16"/>
  <c r="I43" i="16" s="1"/>
  <c r="C7" i="16"/>
  <c r="H41" i="15"/>
  <c r="H35" i="15"/>
  <c r="I44" i="16"/>
  <c r="I40" i="16"/>
  <c r="I36" i="16"/>
  <c r="I32" i="16"/>
  <c r="I33" i="16" l="1"/>
  <c r="I37" i="16"/>
  <c r="I41" i="16"/>
  <c r="I34" i="16"/>
  <c r="I38" i="16"/>
  <c r="I42" i="16"/>
  <c r="I35" i="16"/>
  <c r="I39" i="16"/>
  <c r="H36" i="15"/>
  <c r="H42" i="15"/>
  <c r="H37" i="15"/>
  <c r="H43" i="15"/>
  <c r="H32" i="15"/>
  <c r="H38" i="15"/>
  <c r="H44" i="15"/>
  <c r="H33" i="15"/>
  <c r="H39" i="15"/>
  <c r="H34" i="15"/>
  <c r="C41" i="15"/>
  <c r="E41" i="16"/>
  <c r="F41" i="16"/>
  <c r="G41" i="16"/>
  <c r="H41" i="16"/>
  <c r="D41" i="16"/>
  <c r="E41" i="15"/>
  <c r="F41" i="15"/>
  <c r="G41" i="15"/>
  <c r="D41" i="15"/>
  <c r="D43" i="16" l="1"/>
  <c r="E43" i="16"/>
  <c r="F43" i="16"/>
  <c r="G43" i="16"/>
  <c r="H43" i="16"/>
  <c r="C43" i="16"/>
  <c r="D43" i="15"/>
  <c r="E43" i="15"/>
  <c r="F43" i="15"/>
  <c r="G43" i="15"/>
  <c r="C43" i="15"/>
  <c r="E20" i="14"/>
  <c r="E19" i="14"/>
  <c r="D19" i="14" l="1"/>
  <c r="D44" i="16"/>
  <c r="E44" i="16"/>
  <c r="F44" i="16"/>
  <c r="G44" i="16"/>
  <c r="H44" i="16"/>
  <c r="D42" i="16"/>
  <c r="E42" i="16"/>
  <c r="F42" i="16"/>
  <c r="G42" i="16"/>
  <c r="H42" i="16"/>
  <c r="D40" i="16"/>
  <c r="E40" i="16"/>
  <c r="F40" i="16"/>
  <c r="G40" i="16"/>
  <c r="H40" i="16"/>
  <c r="D39" i="16"/>
  <c r="E39" i="16"/>
  <c r="F39" i="16"/>
  <c r="G39" i="16"/>
  <c r="H39" i="16"/>
  <c r="D38" i="16"/>
  <c r="E38" i="16"/>
  <c r="F38" i="16"/>
  <c r="G38" i="16"/>
  <c r="H38" i="16"/>
  <c r="D37" i="16"/>
  <c r="E37" i="16"/>
  <c r="F37" i="16"/>
  <c r="G37" i="16"/>
  <c r="H37" i="16"/>
  <c r="D36" i="16"/>
  <c r="E36" i="16"/>
  <c r="F36" i="16"/>
  <c r="G36" i="16"/>
  <c r="H36" i="16"/>
  <c r="D35" i="16"/>
  <c r="E35" i="16"/>
  <c r="F35" i="16"/>
  <c r="G35" i="16"/>
  <c r="H35" i="16"/>
  <c r="D34" i="16"/>
  <c r="E34" i="16"/>
  <c r="F34" i="16"/>
  <c r="G34" i="16"/>
  <c r="H34" i="16"/>
  <c r="D33" i="16"/>
  <c r="E33" i="16"/>
  <c r="F33" i="16"/>
  <c r="G33" i="16"/>
  <c r="H33" i="16"/>
  <c r="D32" i="16"/>
  <c r="E32" i="16"/>
  <c r="F32" i="16"/>
  <c r="G32" i="16"/>
  <c r="H32" i="16"/>
  <c r="C44" i="16"/>
  <c r="C42" i="16"/>
  <c r="C41" i="16"/>
  <c r="C40" i="16"/>
  <c r="C39" i="16"/>
  <c r="C38" i="16"/>
  <c r="C37" i="16"/>
  <c r="C36" i="16"/>
  <c r="C35" i="16"/>
  <c r="C34" i="16"/>
  <c r="C33" i="16"/>
  <c r="C32" i="16"/>
  <c r="D44" i="15"/>
  <c r="E44" i="15"/>
  <c r="F44" i="15"/>
  <c r="G44" i="15"/>
  <c r="D42" i="15"/>
  <c r="E42" i="15"/>
  <c r="F42" i="15"/>
  <c r="G42" i="15"/>
  <c r="D40" i="15"/>
  <c r="E40" i="15"/>
  <c r="F40" i="15"/>
  <c r="G40" i="15"/>
  <c r="D39" i="15"/>
  <c r="E39" i="15"/>
  <c r="F39" i="15"/>
  <c r="G39" i="15"/>
  <c r="D38" i="15"/>
  <c r="E38" i="15"/>
  <c r="F38" i="15"/>
  <c r="G38" i="15"/>
  <c r="D37" i="15"/>
  <c r="E37" i="15"/>
  <c r="F37" i="15"/>
  <c r="G37" i="15"/>
  <c r="D36" i="15"/>
  <c r="E36" i="15"/>
  <c r="F36" i="15"/>
  <c r="G36" i="15"/>
  <c r="D35" i="15"/>
  <c r="E35" i="15"/>
  <c r="F35" i="15"/>
  <c r="G35" i="15"/>
  <c r="D34" i="15"/>
  <c r="E34" i="15"/>
  <c r="F34" i="15"/>
  <c r="G34" i="15"/>
  <c r="D33" i="15"/>
  <c r="E33" i="15"/>
  <c r="F33" i="15"/>
  <c r="G33" i="15"/>
  <c r="D32" i="15"/>
  <c r="E32" i="15"/>
  <c r="F32" i="15"/>
  <c r="G32" i="15"/>
  <c r="C44" i="15"/>
  <c r="C42" i="15"/>
  <c r="C40" i="15"/>
  <c r="C39" i="15"/>
  <c r="C38" i="15"/>
  <c r="C37" i="15"/>
  <c r="C36" i="15"/>
  <c r="C35" i="15"/>
  <c r="C34" i="15"/>
  <c r="C33" i="15"/>
  <c r="C32" i="15"/>
  <c r="F20" i="14"/>
  <c r="D20" i="14"/>
  <c r="F19" i="14"/>
</calcChain>
</file>

<file path=xl/sharedStrings.xml><?xml version="1.0" encoding="utf-8"?>
<sst xmlns="http://schemas.openxmlformats.org/spreadsheetml/2006/main" count="158" uniqueCount="52">
  <si>
    <t>Đào tạo dưới 3 tháng</t>
  </si>
  <si>
    <t>Đại học</t>
  </si>
  <si>
    <t>Thạc sĩ</t>
  </si>
  <si>
    <t>Tiến sĩ</t>
  </si>
  <si>
    <t>Trình độ học vấn phổ thông</t>
  </si>
  <si>
    <t>Toàn tỉnh</t>
  </si>
  <si>
    <t>Tổng số</t>
  </si>
  <si>
    <t>Đơn vị: Người</t>
  </si>
  <si>
    <t>Đơn vị: %</t>
  </si>
  <si>
    <t>Tốt nghiệp Tiểu học chưa tốt nghiệp THCS</t>
  </si>
  <si>
    <t>STT</t>
  </si>
  <si>
    <t>A</t>
  </si>
  <si>
    <t>B</t>
  </si>
  <si>
    <t>Huyện/quận/thị xã</t>
  </si>
  <si>
    <t>Chưa tốt nghiệp 
Tiểu học</t>
  </si>
  <si>
    <t>Tốt nghiệp THCS 
chưa tốt nghiệp THPT</t>
  </si>
  <si>
    <t>Tốt nghiệp
 THPT</t>
  </si>
  <si>
    <t xml:space="preserve">Lĩnh vực đào tạo </t>
  </si>
  <si>
    <t>Kinh tế - Xã hội</t>
  </si>
  <si>
    <t xml:space="preserve">Kỹ thuật và
 công nghệ </t>
  </si>
  <si>
    <t>Nông, lâm thủy sản, thú y</t>
  </si>
  <si>
    <t>Trình độ CMKT</t>
  </si>
  <si>
    <t>Chưa qua đào tạo</t>
  </si>
  <si>
    <t>CNKT không bằng</t>
  </si>
  <si>
    <t>Sơ cấp nghề</t>
  </si>
  <si>
    <t>Có bằng nghề dài hạn</t>
  </si>
  <si>
    <t>Trung cấp nghề</t>
  </si>
  <si>
    <t>Trung học chuyên nghiệp</t>
  </si>
  <si>
    <t>Cao đẳng nghề</t>
  </si>
  <si>
    <t>Cao đẳng chuyên nghiệp</t>
  </si>
  <si>
    <t xml:space="preserve">Khoa học tự nhiên </t>
  </si>
  <si>
    <t>Không xác định</t>
  </si>
  <si>
    <t>Ngoại tỉnh</t>
  </si>
  <si>
    <t>Trong tỉnh</t>
  </si>
  <si>
    <t>Nơi làm việc</t>
  </si>
  <si>
    <t>Biểu số 11a: Số lao động có việc làm từ 15 tuổi trở lên chia theo huyện/quận/thị xã, nơi làm việc</t>
  </si>
  <si>
    <t>Vốn nước ngoài</t>
  </si>
  <si>
    <t>Ngoài nhà nước</t>
  </si>
  <si>
    <t>Nhà nước</t>
  </si>
  <si>
    <t>Loại hình kinh tế</t>
  </si>
  <si>
    <t>Biểu số 12a: Số lao động có việc làm từ 15 tuổi trở lên chia theo huyện/quận/thị xã,  loại hình kinh tế</t>
  </si>
  <si>
    <t>Tự làm</t>
  </si>
  <si>
    <t>Làm công ăn lương</t>
  </si>
  <si>
    <t>Vị thế công việc</t>
  </si>
  <si>
    <t>Biểu số 13b: Cơ cấu lao động có việc làm từ 15 tuổi trở lên chia theo huyện/quận/thị xã và vị thế</t>
  </si>
  <si>
    <t>Biểu số 13a: Số lao động có việc làm từ 15 tuổi trở lên chia theo huyện/quận/thị xã và vị thế</t>
  </si>
  <si>
    <t>Biểu số 14b: Cơ cấu lao động có việc làm từ 15 tuổi trở lên chia theo trinh độ học vấn phổ thông và chuyên môn kỹ thuật</t>
  </si>
  <si>
    <t>Biểu số 14a: Lao động có việc làm từ 15 tuổi trở lên chia theo trinh độ học vấn phổ thông và chuyên môn kỹ thuật</t>
  </si>
  <si>
    <t xml:space="preserve">Y tế môi trường 
và dịch vụ khác </t>
  </si>
  <si>
    <t>Biểu số 15b: Cơ cấu lao động có việc làm từ 15 tuổi trở lên theo trình độ chuyên môn kỹ thuật và lĩnh vực đào tạo</t>
  </si>
  <si>
    <t>Biểu số 15a: Số lao động có việc làm từ 15 tuổi trở lên theo trình độ chuyên môn kỹ thuật và lĩnh vực đào tạo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</si>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</sst>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\ _₫_-;\-* #,##0.00\ _₫_-;_-* &quot;-&quot;??\ _₫_-;_-@_-"/>
    <numFmt numFmtId="167" formatCode="_-* #,##0\ _₫_-;\-* #,##0\ _₫_-;_-* &quot;-&quot;??\ _₫_-;_-@_-"/>
  </numFmts>
  <fonts count="11" x14ac:knownFonts="1">
    <font>
      <sz val="11"/>
      <color theme="1"/>
      <name val="Calibri"/>
      <family val="2"/>
      <charset val="163"/>
      <scheme val="minor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</font>
    <font>
      <sz val="10"/>
      <name val="Arial"/>
      <family val="2"/>
      <charset val="163"/>
    </font>
    <font>
      <b/>
      <sz val="12"/>
      <name val="Times New Roman"/>
      <family val="1"/>
    </font>
    <font>
      <sz val="11"/>
      <color indexed="8"/>
      <name val="Calibri"/>
      <family val="2"/>
      <charset val="163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0" fontId="3" fillId="0" borderId="0"/>
    <xf numFmtId="0" fontId="4" fillId="0" borderId="0"/>
    <xf numFmtId="0" fontId="4" fillId="0" borderId="0"/>
    <xf numFmtId="0" fontId="4" fillId="0" borderId="0"/>
  </cellStyleXfs>
  <cellXfs count="69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9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9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3" borderId="1" xfId="6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0" fillId="3" borderId="1" xfId="6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6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3" xfId="6" applyFont="1" applyFill="1" applyBorder="1" applyAlignment="1">
      <alignment horizontal="center" vertical="center" wrapText="1"/>
    </xf>
    <xf numFmtId="0" fontId="5" fillId="2" borderId="2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167" fontId="7" fillId="0" borderId="0" xfId="1" applyNumberFormat="1" applyFont="1" applyAlignment="1">
      <alignment horizontal="center" vertical="center"/>
    </xf>
    <xf numFmtId="167" fontId="7" fillId="0" borderId="0" xfId="1" applyNumberFormat="1" applyFont="1" applyAlignment="1">
      <alignment horizontal="center" vertical="center" wrapText="1"/>
    </xf>
    <xf numFmtId="167" fontId="8" fillId="0" borderId="1" xfId="1" applyNumberFormat="1" applyFont="1" applyBorder="1" applyAlignment="1">
      <alignment horizontal="center" vertical="center" wrapText="1"/>
    </xf>
    <xf numFmtId="167" fontId="7" fillId="0" borderId="1" xfId="1" applyNumberFormat="1" applyFont="1" applyBorder="1" applyAlignment="1">
      <alignment horizontal="center" vertical="center" wrapText="1"/>
    </xf>
    <xf numFmtId="0" fontId="8" fillId="2" borderId="1" xfId="1" applyNumberFormat="1" applyFont="1" applyFill="1" applyBorder="1" applyAlignment="1">
      <alignment horizontal="center" vertical="center" wrapText="1"/>
    </xf>
    <xf numFmtId="0" fontId="8" fillId="2" borderId="1" xfId="1" applyNumberFormat="1" applyFont="1" applyFill="1" applyBorder="1" applyAlignment="1">
      <alignment horizontal="center" vertical="center" wrapText="1"/>
    </xf>
    <xf numFmtId="0" fontId="10" fillId="3" borderId="1" xfId="1" applyNumberFormat="1" applyFont="1" applyFill="1" applyBorder="1" applyAlignment="1">
      <alignment horizontal="center" vertical="center" wrapText="1"/>
    </xf>
    <xf numFmtId="167" fontId="8" fillId="0" borderId="0" xfId="1" applyNumberFormat="1" applyFont="1" applyAlignment="1">
      <alignment horizontal="center" vertical="center"/>
    </xf>
    <xf numFmtId="167" fontId="8" fillId="0" borderId="1" xfId="1" applyNumberFormat="1" applyFont="1" applyBorder="1" applyAlignment="1">
      <alignment horizontal="center" vertical="center"/>
    </xf>
    <xf numFmtId="167" fontId="7" fillId="0" borderId="1" xfId="1" applyNumberFormat="1" applyFont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 wrapText="1"/>
    </xf>
    <xf numFmtId="0" fontId="8" fillId="2" borderId="1" xfId="1" applyNumberFormat="1" applyFont="1" applyFill="1" applyBorder="1" applyAlignment="1">
      <alignment horizontal="center" vertical="center"/>
    </xf>
    <xf numFmtId="0" fontId="8" fillId="3" borderId="1" xfId="1" applyNumberFormat="1" applyFont="1" applyFill="1" applyBorder="1" applyAlignment="1">
      <alignment horizontal="center" vertical="center" wrapText="1"/>
    </xf>
    <xf numFmtId="167" fontId="2" fillId="0" borderId="1" xfId="1" applyNumberFormat="1" applyFont="1" applyBorder="1" applyAlignment="1">
      <alignment horizontal="center" vertical="center" wrapText="1"/>
    </xf>
    <xf numFmtId="167" fontId="2" fillId="0" borderId="0" xfId="1" applyNumberFormat="1" applyFont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5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5" fillId="3" borderId="1" xfId="1" applyNumberFormat="1" applyFont="1" applyFill="1" applyBorder="1" applyAlignment="1">
      <alignment horizontal="center" vertical="center" wrapText="1"/>
    </xf>
    <xf numFmtId="0" fontId="2" fillId="3" borderId="1" xfId="1" applyNumberFormat="1" applyFont="1" applyFill="1" applyBorder="1" applyAlignment="1">
      <alignment horizontal="center" vertical="center" wrapText="1"/>
    </xf>
    <xf numFmtId="0" fontId="2" fillId="2" borderId="5" xfId="1" applyNumberFormat="1" applyFont="1" applyFill="1" applyBorder="1" applyAlignment="1">
      <alignment horizontal="center" vertical="center" wrapText="1"/>
    </xf>
    <xf numFmtId="0" fontId="2" fillId="2" borderId="6" xfId="1" applyNumberFormat="1" applyFont="1" applyFill="1" applyBorder="1" applyAlignment="1">
      <alignment horizontal="center" vertical="center" wrapText="1"/>
    </xf>
    <xf numFmtId="0" fontId="2" fillId="2" borderId="4" xfId="1" applyNumberFormat="1" applyFont="1" applyFill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7" fillId="0" borderId="1" xfId="1" applyNumberFormat="1" applyFont="1" applyBorder="1" applyAlignment="1">
      <alignment horizontal="center" vertical="center"/>
    </xf>
    <xf numFmtId="0" fontId="8" fillId="0" borderId="0" xfId="1" applyNumberFormat="1" applyFont="1" applyAlignment="1">
      <alignment horizontal="center" vertical="center"/>
    </xf>
    <xf numFmtId="0" fontId="7" fillId="0" borderId="0" xfId="1" applyNumberFormat="1" applyFont="1" applyAlignment="1">
      <alignment horizontal="center" vertical="center"/>
    </xf>
  </cellXfs>
  <cellStyles count="10">
    <cellStyle name="Comma" xfId="1" builtinId="3"/>
    <cellStyle name="Comma 2" xfId="2" xr:uid="{00000000-0005-0000-0000-000001000000}"/>
    <cellStyle name="Comma 2 2" xfId="3" xr:uid="{00000000-0005-0000-0000-000002000000}"/>
    <cellStyle name="Comma 3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3" xfId="7" xr:uid="{00000000-0005-0000-0000-000007000000}"/>
    <cellStyle name="Normal 3" xfId="8" xr:uid="{00000000-0005-0000-0000-000008000000}"/>
    <cellStyle name="Normal_Sheet6" xfId="9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2:E8"/>
  <sheetViews>
    <sheetView tabSelected="1" workbookViewId="0">
      <selection activeCell="B8" sqref="B8"/>
    </sheetView>
  </sheetViews>
  <sheetFormatPr defaultRowHeight="15" x14ac:dyDescent="0.25"/>
  <cols>
    <col min="1" max="1" width="8.7109375" style="14" customWidth="1"/>
    <col min="2" max="2" width="40.85546875" style="12" customWidth="1"/>
    <col min="3" max="5" width="28.140625" style="43" customWidth="1"/>
    <col min="6" max="16384" width="9.140625" style="12"/>
  </cols>
  <sheetData>
    <row r="2" spans="1:5" s="11" customFormat="1" x14ac:dyDescent="0.25">
      <c r="A2" s="9" t="s">
        <v>35</v>
      </c>
      <c r="C2" s="42"/>
      <c r="D2" s="42"/>
      <c r="E2" s="42"/>
    </row>
    <row r="3" spans="1:5" x14ac:dyDescent="0.25">
      <c r="E3" s="43" t="s">
        <v>7</v>
      </c>
    </row>
    <row r="4" spans="1:5" ht="21.75" customHeight="1" x14ac:dyDescent="0.25">
      <c r="A4" s="29" t="s">
        <v>10</v>
      </c>
      <c r="B4" s="30" t="s">
        <v>13</v>
      </c>
      <c r="C4" s="46" t="s">
        <v>34</v>
      </c>
      <c r="D4" s="46"/>
      <c r="E4" s="46"/>
    </row>
    <row r="5" spans="1:5" x14ac:dyDescent="0.25">
      <c r="A5" s="29"/>
      <c r="B5" s="30"/>
      <c r="C5" s="47" t="s">
        <v>33</v>
      </c>
      <c r="D5" s="47" t="s">
        <v>32</v>
      </c>
      <c r="E5" s="47" t="s">
        <v>31</v>
      </c>
    </row>
    <row r="6" spans="1:5" ht="21.75" customHeight="1" x14ac:dyDescent="0.25">
      <c r="A6" s="17" t="s">
        <v>11</v>
      </c>
      <c r="B6" s="26" t="s">
        <v>12</v>
      </c>
      <c r="C6" s="48">
        <v>1</v>
      </c>
      <c r="D6" s="48">
        <v>2</v>
      </c>
      <c r="E6" s="48">
        <v>3</v>
      </c>
    </row>
    <row r="7" spans="1:5" ht="21.75" customHeight="1" x14ac:dyDescent="0.25">
      <c r="A7" s="5">
        <v>1</v>
      </c>
      <c r="B7" s="41" t="s">
        <v>5</v>
      </c>
      <c r="C7" s="44"/>
      <c r="D7" s="44"/>
      <c r="E7" s="44"/>
    </row>
    <row r="8" spans="1:5" ht="21.75" customHeight="1" x14ac:dyDescent="0.25">
      <c r="A8" s="8">
        <v>2</v>
      </c>
      <c r="B8" s="27"/>
      <c r="C8" s="45"/>
      <c r="D8" s="45"/>
      <c r="E8" s="45"/>
    </row>
  </sheetData>
  <mergeCells count="3">
    <mergeCell ref="C4:E4"/>
    <mergeCell ref="B4:B5"/>
    <mergeCell ref="A4:A5"/>
  </mergeCells>
  <pageMargins left="0.62" right="0.5" top="0.34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2:G8"/>
  <sheetViews>
    <sheetView workbookViewId="0">
      <selection activeCell="B8" sqref="B8"/>
    </sheetView>
  </sheetViews>
  <sheetFormatPr defaultRowHeight="15" x14ac:dyDescent="0.25"/>
  <cols>
    <col min="1" max="1" width="6.7109375" style="3" customWidth="1"/>
    <col min="2" max="2" width="23.42578125" style="11" customWidth="1"/>
    <col min="3" max="3" width="20.42578125" style="49" customWidth="1"/>
    <col min="4" max="7" width="20.42578125" style="42" customWidth="1"/>
    <col min="8" max="16384" width="9.140625" style="11"/>
  </cols>
  <sheetData>
    <row r="2" spans="1:7" x14ac:dyDescent="0.25">
      <c r="A2" s="9" t="s">
        <v>40</v>
      </c>
    </row>
    <row r="3" spans="1:7" x14ac:dyDescent="0.25">
      <c r="G3" s="49" t="s">
        <v>7</v>
      </c>
    </row>
    <row r="4" spans="1:7" ht="18.75" customHeight="1" x14ac:dyDescent="0.25">
      <c r="A4" s="31" t="s">
        <v>10</v>
      </c>
      <c r="B4" s="30" t="s">
        <v>13</v>
      </c>
      <c r="C4" s="52" t="s">
        <v>6</v>
      </c>
      <c r="D4" s="53" t="s">
        <v>39</v>
      </c>
      <c r="E4" s="53"/>
      <c r="F4" s="53"/>
      <c r="G4" s="53"/>
    </row>
    <row r="5" spans="1:7" ht="21.75" customHeight="1" x14ac:dyDescent="0.25">
      <c r="A5" s="31"/>
      <c r="B5" s="30"/>
      <c r="C5" s="52"/>
      <c r="D5" s="47" t="s">
        <v>38</v>
      </c>
      <c r="E5" s="47" t="s">
        <v>37</v>
      </c>
      <c r="F5" s="47" t="s">
        <v>36</v>
      </c>
      <c r="G5" s="47" t="s">
        <v>51</v>
      </c>
    </row>
    <row r="6" spans="1:7" ht="18.75" customHeight="1" x14ac:dyDescent="0.25">
      <c r="A6" s="21" t="s">
        <v>11</v>
      </c>
      <c r="B6" s="26" t="s">
        <v>12</v>
      </c>
      <c r="C6" s="48">
        <v>1</v>
      </c>
      <c r="D6" s="54">
        <v>2</v>
      </c>
      <c r="E6" s="54">
        <v>3</v>
      </c>
      <c r="F6" s="54">
        <v>4</v>
      </c>
      <c r="G6" s="54">
        <v>5</v>
      </c>
    </row>
    <row r="7" spans="1:7" ht="18.75" customHeight="1" x14ac:dyDescent="0.25">
      <c r="A7" s="10">
        <v>1</v>
      </c>
      <c r="B7" s="6" t="s">
        <v>5</v>
      </c>
      <c r="C7" s="44"/>
      <c r="D7" s="50"/>
      <c r="E7" s="50"/>
      <c r="F7" s="50"/>
      <c r="G7" s="50"/>
    </row>
    <row r="8" spans="1:7" ht="18.75" customHeight="1" x14ac:dyDescent="0.25">
      <c r="A8" s="2">
        <v>2</v>
      </c>
      <c r="B8" s="18"/>
      <c r="C8" s="44"/>
      <c r="D8" s="51"/>
      <c r="E8" s="51"/>
      <c r="F8" s="51"/>
      <c r="G8" s="51"/>
    </row>
  </sheetData>
  <mergeCells count="4">
    <mergeCell ref="B4:B5"/>
    <mergeCell ref="D4:G4"/>
    <mergeCell ref="A4:A5"/>
    <mergeCell ref="C4:C5"/>
  </mergeCells>
  <pageMargins left="0.75" right="0.5" top="0.5" bottom="0.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2:F29"/>
  <sheetViews>
    <sheetView workbookViewId="0">
      <selection activeCell="C10" sqref="C10"/>
    </sheetView>
  </sheetViews>
  <sheetFormatPr defaultRowHeight="15" x14ac:dyDescent="0.25"/>
  <cols>
    <col min="1" max="1" width="8.85546875" style="3" customWidth="1"/>
    <col min="2" max="2" width="38.140625" style="1" customWidth="1"/>
    <col min="3" max="3" width="20.42578125" style="49" customWidth="1"/>
    <col min="4" max="6" width="20.42578125" style="42" customWidth="1"/>
    <col min="7" max="16384" width="9.140625" style="1"/>
  </cols>
  <sheetData>
    <row r="2" spans="1:6" x14ac:dyDescent="0.25">
      <c r="A2" s="28" t="s">
        <v>45</v>
      </c>
    </row>
    <row r="3" spans="1:6" x14ac:dyDescent="0.25">
      <c r="F3" s="49" t="s">
        <v>7</v>
      </c>
    </row>
    <row r="4" spans="1:6" ht="20.25" customHeight="1" x14ac:dyDescent="0.25">
      <c r="A4" s="31" t="s">
        <v>10</v>
      </c>
      <c r="B4" s="36" t="s">
        <v>13</v>
      </c>
      <c r="C4" s="57" t="s">
        <v>43</v>
      </c>
      <c r="D4" s="57"/>
      <c r="E4" s="57"/>
      <c r="F4" s="57"/>
    </row>
    <row r="5" spans="1:6" ht="21" customHeight="1" x14ac:dyDescent="0.25">
      <c r="A5" s="31"/>
      <c r="B5" s="36"/>
      <c r="C5" s="58" t="s">
        <v>6</v>
      </c>
      <c r="D5" s="59" t="s">
        <v>42</v>
      </c>
      <c r="E5" s="59" t="s">
        <v>41</v>
      </c>
      <c r="F5" s="59" t="s">
        <v>51</v>
      </c>
    </row>
    <row r="6" spans="1:6" ht="20.25" customHeight="1" x14ac:dyDescent="0.25">
      <c r="A6" s="21" t="s">
        <v>11</v>
      </c>
      <c r="B6" s="23" t="s">
        <v>12</v>
      </c>
      <c r="C6" s="60">
        <v>1</v>
      </c>
      <c r="D6" s="61">
        <v>2</v>
      </c>
      <c r="E6" s="61">
        <v>4</v>
      </c>
      <c r="F6" s="61">
        <v>5</v>
      </c>
    </row>
    <row r="7" spans="1:6" ht="19.5" customHeight="1" x14ac:dyDescent="0.25">
      <c r="A7" s="10">
        <v>1</v>
      </c>
      <c r="B7" s="40" t="s">
        <v>5</v>
      </c>
      <c r="C7" s="55"/>
      <c r="D7" s="50"/>
      <c r="E7" s="50"/>
      <c r="F7" s="50"/>
    </row>
    <row r="8" spans="1:6" ht="15.75" x14ac:dyDescent="0.25">
      <c r="A8" s="2">
        <v>2</v>
      </c>
      <c r="B8" s="24"/>
      <c r="C8" s="55"/>
      <c r="D8" s="51"/>
      <c r="E8" s="51"/>
      <c r="F8" s="51"/>
    </row>
    <row r="9" spans="1:6" ht="15.75" x14ac:dyDescent="0.25">
      <c r="B9" s="25"/>
      <c r="C9" s="56"/>
    </row>
    <row r="10" spans="1:6" ht="15.75" x14ac:dyDescent="0.25">
      <c r="B10" s="25"/>
      <c r="C10" s="56"/>
    </row>
    <row r="11" spans="1:6" ht="15.75" x14ac:dyDescent="0.25">
      <c r="B11" s="25"/>
      <c r="C11" s="56"/>
    </row>
    <row r="12" spans="1:6" ht="15.75" x14ac:dyDescent="0.25">
      <c r="B12" s="25"/>
      <c r="C12" s="56"/>
    </row>
    <row r="13" spans="1:6" ht="15.75" x14ac:dyDescent="0.25">
      <c r="B13" s="25"/>
      <c r="C13" s="56"/>
    </row>
    <row r="14" spans="1:6" ht="20.25" customHeight="1" x14ac:dyDescent="0.25">
      <c r="A14" s="28" t="s">
        <v>44</v>
      </c>
      <c r="B14" s="25"/>
      <c r="C14" s="56"/>
    </row>
    <row r="15" spans="1:6" ht="20.25" customHeight="1" x14ac:dyDescent="0.25">
      <c r="B15" s="25"/>
      <c r="C15" s="56"/>
      <c r="F15" s="49" t="s">
        <v>8</v>
      </c>
    </row>
    <row r="16" spans="1:6" ht="20.25" customHeight="1" x14ac:dyDescent="0.25">
      <c r="A16" s="32" t="s">
        <v>10</v>
      </c>
      <c r="B16" s="34" t="s">
        <v>13</v>
      </c>
      <c r="C16" s="62" t="s">
        <v>43</v>
      </c>
      <c r="D16" s="63"/>
      <c r="E16" s="63"/>
      <c r="F16" s="64"/>
    </row>
    <row r="17" spans="1:6" ht="21.75" customHeight="1" x14ac:dyDescent="0.25">
      <c r="A17" s="33"/>
      <c r="B17" s="35"/>
      <c r="C17" s="58" t="s">
        <v>6</v>
      </c>
      <c r="D17" s="59" t="s">
        <v>42</v>
      </c>
      <c r="E17" s="59" t="s">
        <v>41</v>
      </c>
      <c r="F17" s="59" t="s">
        <v>51</v>
      </c>
    </row>
    <row r="18" spans="1:6" ht="20.25" customHeight="1" x14ac:dyDescent="0.25">
      <c r="A18" s="21" t="s">
        <v>11</v>
      </c>
      <c r="B18" s="23" t="s">
        <v>12</v>
      </c>
      <c r="C18" s="60">
        <v>1</v>
      </c>
      <c r="D18" s="61">
        <v>2</v>
      </c>
      <c r="E18" s="61">
        <v>4</v>
      </c>
      <c r="F18" s="61">
        <v>5</v>
      </c>
    </row>
    <row r="19" spans="1:6" ht="21.75" customHeight="1" x14ac:dyDescent="0.25">
      <c r="A19" s="10">
        <v>1</v>
      </c>
      <c r="B19" s="40" t="s">
        <v>5</v>
      </c>
      <c r="C19" s="65">
        <v>100</v>
      </c>
      <c r="D19" s="66">
        <f>IF(C7 =0,0,ROUND(D7/C7*100,2))</f>
        <v>0</v>
      </c>
      <c r="E19" s="66">
        <f>IF(C7 =0,0,ROUND(E7/C7*100,2))</f>
        <v>0</v>
      </c>
      <c r="F19" s="66">
        <f>IF(C7 =0,0,ROUND(F7/C7*100,2))</f>
        <v>0</v>
      </c>
    </row>
    <row r="20" spans="1:6" ht="15.75" x14ac:dyDescent="0.25">
      <c r="A20" s="2">
        <v>2</v>
      </c>
      <c r="B20" s="24"/>
      <c r="C20" s="65">
        <v>100</v>
      </c>
      <c r="D20" s="66">
        <f>IF(C8 =0,0,ROUND(D8/C8*100,2))</f>
        <v>0</v>
      </c>
      <c r="E20" s="66">
        <f>IF(C8 =0,0,ROUND(E8/C8*100,2))</f>
        <v>0</v>
      </c>
      <c r="F20" s="66">
        <f>IF(C8 =0,0,ROUND(F8/C8*100,2))</f>
        <v>0</v>
      </c>
    </row>
    <row r="21" spans="1:6" x14ac:dyDescent="0.25">
      <c r="C21" s="67"/>
      <c r="D21" s="68"/>
      <c r="E21" s="68"/>
      <c r="F21" s="68"/>
    </row>
    <row r="22" spans="1:6" x14ac:dyDescent="0.25">
      <c r="C22" s="67"/>
      <c r="D22" s="68"/>
      <c r="E22" s="68"/>
      <c r="F22" s="68"/>
    </row>
    <row r="23" spans="1:6" x14ac:dyDescent="0.25">
      <c r="C23" s="67"/>
      <c r="D23" s="68"/>
      <c r="E23" s="68"/>
      <c r="F23" s="68"/>
    </row>
    <row r="24" spans="1:6" x14ac:dyDescent="0.25">
      <c r="C24" s="67"/>
      <c r="D24" s="68"/>
      <c r="E24" s="68"/>
      <c r="F24" s="68"/>
    </row>
    <row r="29" spans="1:6" ht="21.75" customHeight="1" x14ac:dyDescent="0.25"/>
  </sheetData>
  <mergeCells count="6">
    <mergeCell ref="A16:A17"/>
    <mergeCell ref="B16:B17"/>
    <mergeCell ref="C16:F16"/>
    <mergeCell ref="C4:F4"/>
    <mergeCell ref="A4:A5"/>
    <mergeCell ref="B4:B5"/>
  </mergeCells>
  <pageMargins left="0.95" right="0.45" top="0.5" bottom="0.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2:H44"/>
  <sheetViews>
    <sheetView workbookViewId="0">
      <selection activeCell="B21" sqref="B21"/>
    </sheetView>
  </sheetViews>
  <sheetFormatPr defaultRowHeight="15" x14ac:dyDescent="0.25"/>
  <cols>
    <col min="1" max="1" width="5.42578125" style="11" customWidth="1"/>
    <col min="2" max="2" width="25.5703125" style="11" customWidth="1"/>
    <col min="3" max="3" width="15.140625" style="4" customWidth="1"/>
    <col min="4" max="4" width="16" style="3" customWidth="1"/>
    <col min="5" max="5" width="22.140625" style="3" customWidth="1"/>
    <col min="6" max="6" width="21.7109375" style="3" customWidth="1"/>
    <col min="7" max="7" width="14.28515625" style="3" bestFit="1" customWidth="1"/>
    <col min="8" max="8" width="13.5703125" style="3" customWidth="1"/>
    <col min="9" max="16384" width="9.140625" style="11"/>
  </cols>
  <sheetData>
    <row r="2" spans="1:8" x14ac:dyDescent="0.25">
      <c r="A2" s="9" t="s">
        <v>47</v>
      </c>
    </row>
    <row r="3" spans="1:8" x14ac:dyDescent="0.25">
      <c r="G3" s="4"/>
      <c r="H3" s="4" t="s">
        <v>7</v>
      </c>
    </row>
    <row r="4" spans="1:8" ht="19.5" customHeight="1" x14ac:dyDescent="0.25">
      <c r="A4" s="31" t="s">
        <v>10</v>
      </c>
      <c r="B4" s="31" t="s">
        <v>21</v>
      </c>
      <c r="C4" s="31" t="s">
        <v>4</v>
      </c>
      <c r="D4" s="31"/>
      <c r="E4" s="31"/>
      <c r="F4" s="31"/>
      <c r="G4" s="31"/>
      <c r="H4" s="31"/>
    </row>
    <row r="5" spans="1:8" ht="42.75" x14ac:dyDescent="0.25">
      <c r="A5" s="31"/>
      <c r="B5" s="31"/>
      <c r="C5" s="22" t="s">
        <v>6</v>
      </c>
      <c r="D5" s="15" t="s">
        <v>14</v>
      </c>
      <c r="E5" s="15" t="s">
        <v>9</v>
      </c>
      <c r="F5" s="15" t="s">
        <v>15</v>
      </c>
      <c r="G5" s="15" t="s">
        <v>16</v>
      </c>
      <c r="H5" s="16" t="s">
        <v>51</v>
      </c>
    </row>
    <row r="6" spans="1:8" ht="16.5" customHeight="1" x14ac:dyDescent="0.25">
      <c r="A6" s="21" t="s">
        <v>11</v>
      </c>
      <c r="B6" s="21" t="s">
        <v>12</v>
      </c>
      <c r="C6" s="21">
        <v>1</v>
      </c>
      <c r="D6" s="17">
        <v>2</v>
      </c>
      <c r="E6" s="21">
        <v>3</v>
      </c>
      <c r="F6" s="17">
        <v>4</v>
      </c>
      <c r="G6" s="21">
        <v>5</v>
      </c>
      <c r="H6" s="21">
        <v>6</v>
      </c>
    </row>
    <row r="7" spans="1:8" ht="24.95" customHeight="1" x14ac:dyDescent="0.25">
      <c r="A7" s="2">
        <v>1</v>
      </c>
      <c r="B7" s="7" t="s">
        <v>6</v>
      </c>
      <c r="C7" s="50">
        <f>SUM(C8:C20)</f>
        <v>0</v>
      </c>
      <c r="D7" s="50">
        <f t="shared" ref="D7:H7" si="0">SUM(D8:D20)</f>
        <v>0</v>
      </c>
      <c r="E7" s="50">
        <f t="shared" si="0"/>
        <v>0</v>
      </c>
      <c r="F7" s="50">
        <f t="shared" si="0"/>
        <v>0</v>
      </c>
      <c r="G7" s="50">
        <f t="shared" si="0"/>
        <v>0</v>
      </c>
      <c r="H7" s="50">
        <f t="shared" si="0"/>
        <v>0</v>
      </c>
    </row>
    <row r="8" spans="1:8" ht="24.95" customHeight="1" x14ac:dyDescent="0.25">
      <c r="A8" s="2">
        <v>2</v>
      </c>
      <c r="B8" s="18" t="s">
        <v>22</v>
      </c>
      <c r="C8" s="45"/>
      <c r="D8" s="51"/>
      <c r="E8" s="51"/>
      <c r="F8" s="51"/>
      <c r="G8" s="51"/>
      <c r="H8" s="51"/>
    </row>
    <row r="9" spans="1:8" ht="24.95" customHeight="1" x14ac:dyDescent="0.25">
      <c r="A9" s="2">
        <v>3</v>
      </c>
      <c r="B9" s="18" t="s">
        <v>23</v>
      </c>
      <c r="C9" s="45"/>
      <c r="D9" s="51"/>
      <c r="E9" s="51"/>
      <c r="F9" s="51"/>
      <c r="G9" s="51"/>
      <c r="H9" s="51"/>
    </row>
    <row r="10" spans="1:8" ht="24.95" customHeight="1" x14ac:dyDescent="0.25">
      <c r="A10" s="2">
        <v>4</v>
      </c>
      <c r="B10" s="18" t="s">
        <v>0</v>
      </c>
      <c r="C10" s="45"/>
      <c r="D10" s="51"/>
      <c r="E10" s="51"/>
      <c r="F10" s="51"/>
      <c r="G10" s="51"/>
      <c r="H10" s="51"/>
    </row>
    <row r="11" spans="1:8" ht="24.95" customHeight="1" x14ac:dyDescent="0.25">
      <c r="A11" s="2">
        <v>5</v>
      </c>
      <c r="B11" s="18" t="s">
        <v>24</v>
      </c>
      <c r="C11" s="45"/>
      <c r="D11" s="51"/>
      <c r="E11" s="51"/>
      <c r="F11" s="51"/>
      <c r="G11" s="51"/>
      <c r="H11" s="51"/>
    </row>
    <row r="12" spans="1:8" ht="24.95" customHeight="1" x14ac:dyDescent="0.25">
      <c r="A12" s="2">
        <v>6</v>
      </c>
      <c r="B12" s="18" t="s">
        <v>25</v>
      </c>
      <c r="C12" s="45"/>
      <c r="D12" s="51"/>
      <c r="E12" s="51"/>
      <c r="F12" s="51"/>
      <c r="G12" s="51"/>
      <c r="H12" s="51"/>
    </row>
    <row r="13" spans="1:8" ht="24.95" customHeight="1" x14ac:dyDescent="0.25">
      <c r="A13" s="2">
        <v>7</v>
      </c>
      <c r="B13" s="18" t="s">
        <v>26</v>
      </c>
      <c r="C13" s="45"/>
      <c r="D13" s="51"/>
      <c r="E13" s="51"/>
      <c r="F13" s="51"/>
      <c r="G13" s="51"/>
      <c r="H13" s="51"/>
    </row>
    <row r="14" spans="1:8" ht="24.95" customHeight="1" x14ac:dyDescent="0.25">
      <c r="A14" s="2">
        <v>8</v>
      </c>
      <c r="B14" s="18" t="s">
        <v>27</v>
      </c>
      <c r="C14" s="45"/>
      <c r="D14" s="51"/>
      <c r="E14" s="51"/>
      <c r="F14" s="51"/>
      <c r="G14" s="51"/>
      <c r="H14" s="51"/>
    </row>
    <row r="15" spans="1:8" ht="24.95" customHeight="1" x14ac:dyDescent="0.25">
      <c r="A15" s="2">
        <v>9</v>
      </c>
      <c r="B15" s="18" t="s">
        <v>28</v>
      </c>
      <c r="C15" s="45"/>
      <c r="D15" s="51"/>
      <c r="E15" s="51"/>
      <c r="F15" s="51"/>
      <c r="G15" s="51"/>
      <c r="H15" s="51"/>
    </row>
    <row r="16" spans="1:8" ht="24.95" customHeight="1" x14ac:dyDescent="0.25">
      <c r="A16" s="2">
        <v>10</v>
      </c>
      <c r="B16" s="18" t="s">
        <v>29</v>
      </c>
      <c r="C16" s="45"/>
      <c r="D16" s="51"/>
      <c r="E16" s="51"/>
      <c r="F16" s="51"/>
      <c r="G16" s="51"/>
      <c r="H16" s="51"/>
    </row>
    <row r="17" spans="1:8" ht="24.95" customHeight="1" x14ac:dyDescent="0.25">
      <c r="A17" s="2">
        <v>11</v>
      </c>
      <c r="B17" s="20" t="s">
        <v>1</v>
      </c>
      <c r="C17" s="51"/>
      <c r="D17" s="51"/>
      <c r="E17" s="51"/>
      <c r="F17" s="51"/>
      <c r="G17" s="51"/>
      <c r="H17" s="51"/>
    </row>
    <row r="18" spans="1:8" ht="24.95" customHeight="1" x14ac:dyDescent="0.25">
      <c r="A18" s="2">
        <v>12</v>
      </c>
      <c r="B18" s="20" t="s">
        <v>2</v>
      </c>
      <c r="C18" s="51"/>
      <c r="D18" s="51"/>
      <c r="E18" s="51"/>
      <c r="F18" s="51"/>
      <c r="G18" s="51"/>
      <c r="H18" s="51"/>
    </row>
    <row r="19" spans="1:8" ht="24.95" customHeight="1" x14ac:dyDescent="0.25">
      <c r="A19" s="2">
        <v>13</v>
      </c>
      <c r="B19" s="20" t="s">
        <v>3</v>
      </c>
      <c r="C19" s="51"/>
      <c r="D19" s="51"/>
      <c r="E19" s="51"/>
      <c r="F19" s="51"/>
      <c r="G19" s="51"/>
      <c r="H19" s="51"/>
    </row>
    <row r="20" spans="1:8" ht="24.95" customHeight="1" x14ac:dyDescent="0.25">
      <c r="A20" s="2">
        <v>14</v>
      </c>
      <c r="B20" s="19" t="s">
        <v>51</v>
      </c>
      <c r="C20" s="51"/>
      <c r="D20" s="51"/>
      <c r="E20" s="51"/>
      <c r="F20" s="51"/>
      <c r="G20" s="51"/>
      <c r="H20" s="51"/>
    </row>
    <row r="21" spans="1:8" ht="19.5" customHeight="1" x14ac:dyDescent="0.25">
      <c r="B21" s="4"/>
    </row>
    <row r="26" spans="1:8" x14ac:dyDescent="0.25">
      <c r="A26" s="9" t="s">
        <v>46</v>
      </c>
    </row>
    <row r="27" spans="1:8" x14ac:dyDescent="0.25">
      <c r="G27" s="4"/>
      <c r="H27" s="4" t="s">
        <v>8</v>
      </c>
    </row>
    <row r="28" spans="1:8" ht="19.5" customHeight="1" x14ac:dyDescent="0.25">
      <c r="A28" s="31" t="s">
        <v>10</v>
      </c>
      <c r="B28" s="31" t="s">
        <v>21</v>
      </c>
      <c r="C28" s="31" t="s">
        <v>4</v>
      </c>
      <c r="D28" s="31"/>
      <c r="E28" s="31"/>
      <c r="F28" s="31"/>
      <c r="G28" s="31"/>
      <c r="H28" s="31"/>
    </row>
    <row r="29" spans="1:8" ht="42.75" x14ac:dyDescent="0.25">
      <c r="A29" s="31"/>
      <c r="B29" s="31"/>
      <c r="C29" s="22" t="s">
        <v>6</v>
      </c>
      <c r="D29" s="15" t="s">
        <v>14</v>
      </c>
      <c r="E29" s="15" t="s">
        <v>9</v>
      </c>
      <c r="F29" s="15" t="s">
        <v>15</v>
      </c>
      <c r="G29" s="15" t="s">
        <v>16</v>
      </c>
      <c r="H29" s="16" t="s">
        <v>51</v>
      </c>
    </row>
    <row r="30" spans="1:8" ht="18.75" customHeight="1" x14ac:dyDescent="0.25">
      <c r="A30" s="21" t="s">
        <v>11</v>
      </c>
      <c r="B30" s="21" t="s">
        <v>12</v>
      </c>
      <c r="C30" s="21">
        <v>1</v>
      </c>
      <c r="D30" s="17">
        <v>2</v>
      </c>
      <c r="E30" s="21">
        <v>3</v>
      </c>
      <c r="F30" s="17">
        <v>4</v>
      </c>
      <c r="G30" s="21">
        <v>5</v>
      </c>
      <c r="H30" s="21">
        <v>6</v>
      </c>
    </row>
    <row r="31" spans="1:8" ht="24.95" customHeight="1" x14ac:dyDescent="0.25">
      <c r="A31" s="2">
        <v>1</v>
      </c>
      <c r="B31" s="7" t="s">
        <v>6</v>
      </c>
      <c r="C31" s="10">
        <v>100</v>
      </c>
      <c r="D31" s="10">
        <v>100</v>
      </c>
      <c r="E31" s="10">
        <v>100</v>
      </c>
      <c r="F31" s="10">
        <v>100</v>
      </c>
      <c r="G31" s="10">
        <v>100</v>
      </c>
      <c r="H31" s="10">
        <v>100</v>
      </c>
    </row>
    <row r="32" spans="1:8" ht="24.95" customHeight="1" x14ac:dyDescent="0.25">
      <c r="A32" s="2">
        <v>2</v>
      </c>
      <c r="B32" s="18" t="s">
        <v>22</v>
      </c>
      <c r="C32" s="8">
        <f>IF(C7 =0,0,ROUND(C8/C7*100,2))</f>
        <v>0</v>
      </c>
      <c r="D32" s="8">
        <f t="shared" ref="D32:H32" si="1">IF(D7 =0,0,ROUND(D8/D7*100,2))</f>
        <v>0</v>
      </c>
      <c r="E32" s="8">
        <f t="shared" si="1"/>
        <v>0</v>
      </c>
      <c r="F32" s="8">
        <f t="shared" si="1"/>
        <v>0</v>
      </c>
      <c r="G32" s="8">
        <f t="shared" si="1"/>
        <v>0</v>
      </c>
      <c r="H32" s="8">
        <f t="shared" si="1"/>
        <v>0</v>
      </c>
    </row>
    <row r="33" spans="1:8" ht="24.95" customHeight="1" x14ac:dyDescent="0.25">
      <c r="A33" s="2">
        <v>3</v>
      </c>
      <c r="B33" s="18" t="s">
        <v>23</v>
      </c>
      <c r="C33" s="8">
        <f>IF(C7 =0,0,ROUND(C9/C7*100,2))</f>
        <v>0</v>
      </c>
      <c r="D33" s="8">
        <f t="shared" ref="D33:G33" si="2">IF(D7 =0,0,ROUND(D9/D7*100,2))</f>
        <v>0</v>
      </c>
      <c r="E33" s="8">
        <f t="shared" si="2"/>
        <v>0</v>
      </c>
      <c r="F33" s="8">
        <f t="shared" si="2"/>
        <v>0</v>
      </c>
      <c r="G33" s="8">
        <f t="shared" si="2"/>
        <v>0</v>
      </c>
      <c r="H33" s="8">
        <f t="shared" ref="H33" si="3">IF(H7=0,0,ROUND(H9/H7*100,2))</f>
        <v>0</v>
      </c>
    </row>
    <row r="34" spans="1:8" ht="24.95" customHeight="1" x14ac:dyDescent="0.25">
      <c r="A34" s="2">
        <v>4</v>
      </c>
      <c r="B34" s="18" t="s">
        <v>0</v>
      </c>
      <c r="C34" s="8">
        <f>IF(C7 =0,0,ROUND(C10/C7*100,2))</f>
        <v>0</v>
      </c>
      <c r="D34" s="8">
        <f t="shared" ref="D34:H34" si="4">IF(D7 =0,0,ROUND(D10/D7*100,2))</f>
        <v>0</v>
      </c>
      <c r="E34" s="8">
        <f t="shared" si="4"/>
        <v>0</v>
      </c>
      <c r="F34" s="8">
        <f t="shared" si="4"/>
        <v>0</v>
      </c>
      <c r="G34" s="8">
        <f t="shared" si="4"/>
        <v>0</v>
      </c>
      <c r="H34" s="8">
        <f t="shared" si="4"/>
        <v>0</v>
      </c>
    </row>
    <row r="35" spans="1:8" ht="24.95" customHeight="1" x14ac:dyDescent="0.25">
      <c r="A35" s="2">
        <v>5</v>
      </c>
      <c r="B35" s="18" t="s">
        <v>24</v>
      </c>
      <c r="C35" s="8">
        <f>IF(C7 =0,0,ROUND(C11/C7*100,2))</f>
        <v>0</v>
      </c>
      <c r="D35" s="8">
        <f t="shared" ref="D35:H35" si="5">IF(D7 =0,0,ROUND(D11/D7*100,2))</f>
        <v>0</v>
      </c>
      <c r="E35" s="8">
        <f t="shared" si="5"/>
        <v>0</v>
      </c>
      <c r="F35" s="8">
        <f t="shared" si="5"/>
        <v>0</v>
      </c>
      <c r="G35" s="8">
        <f t="shared" si="5"/>
        <v>0</v>
      </c>
      <c r="H35" s="8">
        <f t="shared" si="5"/>
        <v>0</v>
      </c>
    </row>
    <row r="36" spans="1:8" ht="24.95" customHeight="1" x14ac:dyDescent="0.25">
      <c r="A36" s="2">
        <v>6</v>
      </c>
      <c r="B36" s="18" t="s">
        <v>25</v>
      </c>
      <c r="C36" s="8">
        <f>IF(C7 =0,0,ROUND(C12/C7*100,2))</f>
        <v>0</v>
      </c>
      <c r="D36" s="8">
        <f t="shared" ref="D36:H36" si="6">IF(D7 =0,0,ROUND(D12/D7*100,2))</f>
        <v>0</v>
      </c>
      <c r="E36" s="8">
        <f t="shared" si="6"/>
        <v>0</v>
      </c>
      <c r="F36" s="8">
        <f t="shared" si="6"/>
        <v>0</v>
      </c>
      <c r="G36" s="8">
        <f t="shared" si="6"/>
        <v>0</v>
      </c>
      <c r="H36" s="8">
        <f t="shared" si="6"/>
        <v>0</v>
      </c>
    </row>
    <row r="37" spans="1:8" ht="24.95" customHeight="1" x14ac:dyDescent="0.25">
      <c r="A37" s="2">
        <v>7</v>
      </c>
      <c r="B37" s="18" t="s">
        <v>26</v>
      </c>
      <c r="C37" s="8">
        <f>IF(C7 =0,0,ROUND(C13/C7*100,2))</f>
        <v>0</v>
      </c>
      <c r="D37" s="8">
        <f t="shared" ref="D37:H37" si="7">IF(D7 =0,0,ROUND(D13/D7*100,2))</f>
        <v>0</v>
      </c>
      <c r="E37" s="8">
        <f t="shared" si="7"/>
        <v>0</v>
      </c>
      <c r="F37" s="8">
        <f t="shared" si="7"/>
        <v>0</v>
      </c>
      <c r="G37" s="8">
        <f t="shared" si="7"/>
        <v>0</v>
      </c>
      <c r="H37" s="8">
        <f t="shared" si="7"/>
        <v>0</v>
      </c>
    </row>
    <row r="38" spans="1:8" ht="24.95" customHeight="1" x14ac:dyDescent="0.25">
      <c r="A38" s="2">
        <v>8</v>
      </c>
      <c r="B38" s="18" t="s">
        <v>27</v>
      </c>
      <c r="C38" s="8">
        <f>IF(C7 =0,0,ROUND(C14/C7*100,2))</f>
        <v>0</v>
      </c>
      <c r="D38" s="8">
        <f t="shared" ref="D38:H38" si="8">IF(D7 =0,0,ROUND(D14/D7*100,2))</f>
        <v>0</v>
      </c>
      <c r="E38" s="8">
        <f t="shared" si="8"/>
        <v>0</v>
      </c>
      <c r="F38" s="8">
        <f t="shared" si="8"/>
        <v>0</v>
      </c>
      <c r="G38" s="8">
        <f t="shared" si="8"/>
        <v>0</v>
      </c>
      <c r="H38" s="8">
        <f t="shared" si="8"/>
        <v>0</v>
      </c>
    </row>
    <row r="39" spans="1:8" ht="24.95" customHeight="1" x14ac:dyDescent="0.25">
      <c r="A39" s="2">
        <v>9</v>
      </c>
      <c r="B39" s="18" t="s">
        <v>28</v>
      </c>
      <c r="C39" s="8">
        <f>IF(C7 =0,0,ROUND(C15/C7*100,2))</f>
        <v>0</v>
      </c>
      <c r="D39" s="8">
        <f t="shared" ref="D39:H39" si="9">IF(D7 =0,0,ROUND(D15/D7*100,2))</f>
        <v>0</v>
      </c>
      <c r="E39" s="8">
        <f t="shared" si="9"/>
        <v>0</v>
      </c>
      <c r="F39" s="8">
        <f t="shared" si="9"/>
        <v>0</v>
      </c>
      <c r="G39" s="8">
        <f t="shared" si="9"/>
        <v>0</v>
      </c>
      <c r="H39" s="8">
        <f t="shared" si="9"/>
        <v>0</v>
      </c>
    </row>
    <row r="40" spans="1:8" ht="24.95" customHeight="1" x14ac:dyDescent="0.25">
      <c r="A40" s="2">
        <v>10</v>
      </c>
      <c r="B40" s="18" t="s">
        <v>29</v>
      </c>
      <c r="C40" s="8">
        <f>IF(C15 =0,0,ROUND(C16/C7*100,2))</f>
        <v>0</v>
      </c>
      <c r="D40" s="8">
        <f t="shared" ref="D40:G40" si="10">IF(D15 =0,0,ROUND(D16/D7*100,2))</f>
        <v>0</v>
      </c>
      <c r="E40" s="8">
        <f t="shared" si="10"/>
        <v>0</v>
      </c>
      <c r="F40" s="8">
        <f t="shared" si="10"/>
        <v>0</v>
      </c>
      <c r="G40" s="8">
        <f t="shared" si="10"/>
        <v>0</v>
      </c>
      <c r="H40" s="8">
        <f t="shared" ref="H40" si="11">IF(H7=0,0,ROUND(H16/H7*100,2))</f>
        <v>0</v>
      </c>
    </row>
    <row r="41" spans="1:8" ht="24.95" customHeight="1" x14ac:dyDescent="0.25">
      <c r="A41" s="2">
        <v>11</v>
      </c>
      <c r="B41" s="20" t="s">
        <v>1</v>
      </c>
      <c r="C41" s="8">
        <f>IF(C7 =0,0,ROUND(C17/C7*100,2))</f>
        <v>0</v>
      </c>
      <c r="D41" s="8">
        <f>IF(D7 =0,0,ROUND(D17/D7*100,2))</f>
        <v>0</v>
      </c>
      <c r="E41" s="8">
        <f t="shared" ref="E41:G41" si="12">IF(E7 =0,0,ROUND(E17/E7*100,2))</f>
        <v>0</v>
      </c>
      <c r="F41" s="8">
        <f t="shared" si="12"/>
        <v>0</v>
      </c>
      <c r="G41" s="8">
        <f t="shared" si="12"/>
        <v>0</v>
      </c>
      <c r="H41" s="8">
        <f t="shared" ref="H41" si="13">IF(H7=0,0,ROUND(H17/H7*100,2))</f>
        <v>0</v>
      </c>
    </row>
    <row r="42" spans="1:8" ht="24.95" customHeight="1" x14ac:dyDescent="0.25">
      <c r="A42" s="2">
        <v>12</v>
      </c>
      <c r="B42" s="20" t="s">
        <v>2</v>
      </c>
      <c r="C42" s="8">
        <f>IF(C7 =0,0,ROUND(C18/C7*100,2))</f>
        <v>0</v>
      </c>
      <c r="D42" s="8">
        <f t="shared" ref="D42:H42" si="14">IF(D7 =0,0,ROUND(D18/D7*100,2))</f>
        <v>0</v>
      </c>
      <c r="E42" s="8">
        <f t="shared" si="14"/>
        <v>0</v>
      </c>
      <c r="F42" s="8">
        <f t="shared" si="14"/>
        <v>0</v>
      </c>
      <c r="G42" s="8">
        <f t="shared" si="14"/>
        <v>0</v>
      </c>
      <c r="H42" s="8">
        <f t="shared" si="14"/>
        <v>0</v>
      </c>
    </row>
    <row r="43" spans="1:8" ht="24.95" customHeight="1" x14ac:dyDescent="0.25">
      <c r="A43" s="2">
        <v>13</v>
      </c>
      <c r="B43" s="20" t="s">
        <v>3</v>
      </c>
      <c r="C43" s="8">
        <f>IF(C7 =0,0,ROUND(C19/C7*100,2))</f>
        <v>0</v>
      </c>
      <c r="D43" s="8">
        <f t="shared" ref="D43:H43" si="15">IF(D7 =0,0,ROUND(D19/D7*100,2))</f>
        <v>0</v>
      </c>
      <c r="E43" s="8">
        <f t="shared" si="15"/>
        <v>0</v>
      </c>
      <c r="F43" s="8">
        <f t="shared" si="15"/>
        <v>0</v>
      </c>
      <c r="G43" s="8">
        <f t="shared" si="15"/>
        <v>0</v>
      </c>
      <c r="H43" s="8">
        <f t="shared" si="15"/>
        <v>0</v>
      </c>
    </row>
    <row r="44" spans="1:8" ht="24.95" customHeight="1" x14ac:dyDescent="0.25">
      <c r="A44" s="2">
        <v>14</v>
      </c>
      <c r="B44" s="19" t="s">
        <v>51</v>
      </c>
      <c r="C44" s="8">
        <f>IF(C7 =0,0,ROUND(C20/C7*100,2))</f>
        <v>0</v>
      </c>
      <c r="D44" s="8">
        <f t="shared" ref="D44:H44" si="16">IF(D7 =0,0,ROUND(D20/D7*100,2))</f>
        <v>0</v>
      </c>
      <c r="E44" s="8">
        <f t="shared" si="16"/>
        <v>0</v>
      </c>
      <c r="F44" s="8">
        <f t="shared" si="16"/>
        <v>0</v>
      </c>
      <c r="G44" s="8">
        <f t="shared" si="16"/>
        <v>0</v>
      </c>
      <c r="H44" s="8">
        <f t="shared" si="16"/>
        <v>0</v>
      </c>
    </row>
  </sheetData>
  <mergeCells count="6">
    <mergeCell ref="B4:B5"/>
    <mergeCell ref="A4:A5"/>
    <mergeCell ref="A28:A29"/>
    <mergeCell ref="B28:B29"/>
    <mergeCell ref="C28:H28"/>
    <mergeCell ref="C4:H4"/>
  </mergeCells>
  <pageMargins left="0.68" right="0.45" top="0.5" bottom="0.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2:I44"/>
  <sheetViews>
    <sheetView topLeftCell="A4" workbookViewId="0">
      <selection activeCell="B22" sqref="B22"/>
    </sheetView>
  </sheetViews>
  <sheetFormatPr defaultRowHeight="15" x14ac:dyDescent="0.25"/>
  <cols>
    <col min="1" max="1" width="6.28515625" style="12" customWidth="1"/>
    <col min="2" max="2" width="25.7109375" style="12" customWidth="1"/>
    <col min="3" max="3" width="13.7109375" style="14" customWidth="1"/>
    <col min="4" max="4" width="14.85546875" style="14" customWidth="1"/>
    <col min="5" max="6" width="14.42578125" style="14" customWidth="1"/>
    <col min="7" max="7" width="15" style="14" bestFit="1" customWidth="1"/>
    <col min="8" max="8" width="15.7109375" style="14" customWidth="1"/>
    <col min="9" max="9" width="11.7109375" style="14" customWidth="1"/>
    <col min="10" max="16384" width="9.140625" style="12"/>
  </cols>
  <sheetData>
    <row r="2" spans="1:9" x14ac:dyDescent="0.25">
      <c r="A2" s="9" t="s">
        <v>50</v>
      </c>
      <c r="C2" s="13"/>
    </row>
    <row r="3" spans="1:9" x14ac:dyDescent="0.25">
      <c r="H3" s="13" t="s">
        <v>7</v>
      </c>
    </row>
    <row r="4" spans="1:9" ht="19.5" customHeight="1" x14ac:dyDescent="0.25">
      <c r="A4" s="29" t="s">
        <v>10</v>
      </c>
      <c r="B4" s="29" t="s">
        <v>21</v>
      </c>
      <c r="C4" s="29" t="s">
        <v>17</v>
      </c>
      <c r="D4" s="29"/>
      <c r="E4" s="29"/>
      <c r="F4" s="29"/>
      <c r="G4" s="29"/>
      <c r="H4" s="29"/>
      <c r="I4" s="29"/>
    </row>
    <row r="5" spans="1:9" ht="38.25" customHeight="1" x14ac:dyDescent="0.25">
      <c r="A5" s="29"/>
      <c r="B5" s="29"/>
      <c r="C5" s="15" t="s">
        <v>6</v>
      </c>
      <c r="D5" s="15" t="s">
        <v>18</v>
      </c>
      <c r="E5" s="15" t="s">
        <v>30</v>
      </c>
      <c r="F5" s="15" t="s">
        <v>19</v>
      </c>
      <c r="G5" s="15" t="s">
        <v>20</v>
      </c>
      <c r="H5" s="15" t="s">
        <v>48</v>
      </c>
      <c r="I5" s="16" t="s">
        <v>51</v>
      </c>
    </row>
    <row r="6" spans="1:9" ht="21" customHeight="1" x14ac:dyDescent="0.25">
      <c r="A6" s="17" t="s">
        <v>11</v>
      </c>
      <c r="B6" s="17" t="s">
        <v>12</v>
      </c>
      <c r="C6" s="17">
        <v>1</v>
      </c>
      <c r="D6" s="17">
        <v>2</v>
      </c>
      <c r="E6" s="17">
        <v>3</v>
      </c>
      <c r="F6" s="17">
        <v>4</v>
      </c>
      <c r="G6" s="17">
        <v>5</v>
      </c>
      <c r="H6" s="17">
        <v>6</v>
      </c>
      <c r="I6" s="17">
        <v>6</v>
      </c>
    </row>
    <row r="7" spans="1:9" ht="26.1" customHeight="1" x14ac:dyDescent="0.25">
      <c r="A7" s="8">
        <v>1</v>
      </c>
      <c r="B7" s="6" t="s">
        <v>6</v>
      </c>
      <c r="C7" s="44">
        <f>SUM(C8:C20)</f>
        <v>0</v>
      </c>
      <c r="D7" s="44">
        <f t="shared" ref="D7:I7" si="0">SUM(D8:D20)</f>
        <v>0</v>
      </c>
      <c r="E7" s="44">
        <f t="shared" si="0"/>
        <v>0</v>
      </c>
      <c r="F7" s="44">
        <f t="shared" si="0"/>
        <v>0</v>
      </c>
      <c r="G7" s="44">
        <f t="shared" si="0"/>
        <v>0</v>
      </c>
      <c r="H7" s="44">
        <f t="shared" si="0"/>
        <v>0</v>
      </c>
      <c r="I7" s="44">
        <f t="shared" si="0"/>
        <v>0</v>
      </c>
    </row>
    <row r="8" spans="1:9" ht="26.1" customHeight="1" x14ac:dyDescent="0.25">
      <c r="A8" s="8">
        <v>2</v>
      </c>
      <c r="B8" s="18" t="s">
        <v>22</v>
      </c>
      <c r="C8" s="45"/>
      <c r="D8" s="45"/>
      <c r="E8" s="45"/>
      <c r="F8" s="45"/>
      <c r="G8" s="45"/>
      <c r="H8" s="45"/>
      <c r="I8" s="45"/>
    </row>
    <row r="9" spans="1:9" ht="26.1" customHeight="1" x14ac:dyDescent="0.25">
      <c r="A9" s="8">
        <v>3</v>
      </c>
      <c r="B9" s="18" t="s">
        <v>23</v>
      </c>
      <c r="C9" s="45"/>
      <c r="D9" s="45"/>
      <c r="E9" s="45"/>
      <c r="F9" s="45"/>
      <c r="G9" s="45"/>
      <c r="H9" s="45"/>
      <c r="I9" s="45"/>
    </row>
    <row r="10" spans="1:9" ht="26.1" customHeight="1" x14ac:dyDescent="0.25">
      <c r="A10" s="8">
        <v>4</v>
      </c>
      <c r="B10" s="18" t="s">
        <v>0</v>
      </c>
      <c r="C10" s="45"/>
      <c r="D10" s="45"/>
      <c r="E10" s="45"/>
      <c r="F10" s="45"/>
      <c r="G10" s="45"/>
      <c r="H10" s="45"/>
      <c r="I10" s="45"/>
    </row>
    <row r="11" spans="1:9" ht="26.1" customHeight="1" x14ac:dyDescent="0.25">
      <c r="A11" s="8">
        <v>5</v>
      </c>
      <c r="B11" s="18" t="s">
        <v>24</v>
      </c>
      <c r="C11" s="45"/>
      <c r="D11" s="45"/>
      <c r="E11" s="45"/>
      <c r="F11" s="45"/>
      <c r="G11" s="45"/>
      <c r="H11" s="45"/>
      <c r="I11" s="45"/>
    </row>
    <row r="12" spans="1:9" ht="26.1" customHeight="1" x14ac:dyDescent="0.25">
      <c r="A12" s="8">
        <v>6</v>
      </c>
      <c r="B12" s="18" t="s">
        <v>25</v>
      </c>
      <c r="C12" s="45"/>
      <c r="D12" s="45"/>
      <c r="E12" s="45"/>
      <c r="F12" s="45"/>
      <c r="G12" s="45"/>
      <c r="H12" s="45"/>
      <c r="I12" s="45"/>
    </row>
    <row r="13" spans="1:9" ht="26.1" customHeight="1" x14ac:dyDescent="0.25">
      <c r="A13" s="8">
        <v>7</v>
      </c>
      <c r="B13" s="18" t="s">
        <v>26</v>
      </c>
      <c r="C13" s="45"/>
      <c r="D13" s="45"/>
      <c r="E13" s="45"/>
      <c r="F13" s="45"/>
      <c r="G13" s="45"/>
      <c r="H13" s="45"/>
      <c r="I13" s="45"/>
    </row>
    <row r="14" spans="1:9" ht="26.1" customHeight="1" x14ac:dyDescent="0.25">
      <c r="A14" s="8">
        <v>8</v>
      </c>
      <c r="B14" s="18" t="s">
        <v>27</v>
      </c>
      <c r="C14" s="45"/>
      <c r="D14" s="45"/>
      <c r="E14" s="45"/>
      <c r="F14" s="45"/>
      <c r="G14" s="45"/>
      <c r="H14" s="45"/>
      <c r="I14" s="45"/>
    </row>
    <row r="15" spans="1:9" ht="26.1" customHeight="1" x14ac:dyDescent="0.25">
      <c r="A15" s="8">
        <v>9</v>
      </c>
      <c r="B15" s="18" t="s">
        <v>28</v>
      </c>
      <c r="C15" s="45"/>
      <c r="D15" s="45"/>
      <c r="E15" s="45"/>
      <c r="F15" s="45"/>
      <c r="G15" s="45"/>
      <c r="H15" s="45"/>
      <c r="I15" s="45"/>
    </row>
    <row r="16" spans="1:9" ht="26.1" customHeight="1" x14ac:dyDescent="0.25">
      <c r="A16" s="8">
        <v>10</v>
      </c>
      <c r="B16" s="18" t="s">
        <v>29</v>
      </c>
      <c r="C16" s="45"/>
      <c r="D16" s="45"/>
      <c r="E16" s="45"/>
      <c r="F16" s="45"/>
      <c r="G16" s="45"/>
      <c r="H16" s="45"/>
      <c r="I16" s="45"/>
    </row>
    <row r="17" spans="1:9" ht="26.1" customHeight="1" x14ac:dyDescent="0.25">
      <c r="A17" s="8">
        <v>11</v>
      </c>
      <c r="B17" s="18" t="s">
        <v>1</v>
      </c>
      <c r="C17" s="45"/>
      <c r="D17" s="45"/>
      <c r="E17" s="45"/>
      <c r="F17" s="45"/>
      <c r="G17" s="45"/>
      <c r="H17" s="45"/>
      <c r="I17" s="45"/>
    </row>
    <row r="18" spans="1:9" ht="26.1" customHeight="1" x14ac:dyDescent="0.25">
      <c r="A18" s="8">
        <v>12</v>
      </c>
      <c r="B18" s="18" t="s">
        <v>2</v>
      </c>
      <c r="C18" s="45"/>
      <c r="D18" s="45"/>
      <c r="E18" s="45"/>
      <c r="F18" s="45"/>
      <c r="G18" s="45"/>
      <c r="H18" s="45"/>
      <c r="I18" s="45"/>
    </row>
    <row r="19" spans="1:9" ht="26.1" customHeight="1" x14ac:dyDescent="0.25">
      <c r="A19" s="8">
        <v>13</v>
      </c>
      <c r="B19" s="18" t="s">
        <v>3</v>
      </c>
      <c r="C19" s="45"/>
      <c r="D19" s="45"/>
      <c r="E19" s="45"/>
      <c r="F19" s="45"/>
      <c r="G19" s="45"/>
      <c r="H19" s="45"/>
      <c r="I19" s="45"/>
    </row>
    <row r="20" spans="1:9" ht="26.1" customHeight="1" x14ac:dyDescent="0.25">
      <c r="A20" s="8">
        <v>14</v>
      </c>
      <c r="B20" s="19" t="s">
        <v>51</v>
      </c>
      <c r="C20" s="45"/>
      <c r="D20" s="45"/>
      <c r="E20" s="45"/>
      <c r="F20" s="45"/>
      <c r="G20" s="45"/>
      <c r="H20" s="45"/>
      <c r="I20" s="45"/>
    </row>
    <row r="26" spans="1:9" x14ac:dyDescent="0.25">
      <c r="A26" s="9" t="s">
        <v>49</v>
      </c>
      <c r="C26" s="13"/>
    </row>
    <row r="27" spans="1:9" x14ac:dyDescent="0.25">
      <c r="H27" s="13" t="s">
        <v>8</v>
      </c>
    </row>
    <row r="28" spans="1:9" ht="19.5" customHeight="1" x14ac:dyDescent="0.25">
      <c r="A28" s="29" t="s">
        <v>10</v>
      </c>
      <c r="B28" s="29" t="s">
        <v>21</v>
      </c>
      <c r="C28" s="37" t="s">
        <v>17</v>
      </c>
      <c r="D28" s="38"/>
      <c r="E28" s="38"/>
      <c r="F28" s="38"/>
      <c r="G28" s="38"/>
      <c r="H28" s="38"/>
      <c r="I28" s="39"/>
    </row>
    <row r="29" spans="1:9" ht="39.75" customHeight="1" x14ac:dyDescent="0.25">
      <c r="A29" s="29"/>
      <c r="B29" s="29"/>
      <c r="C29" s="15" t="s">
        <v>6</v>
      </c>
      <c r="D29" s="15" t="s">
        <v>18</v>
      </c>
      <c r="E29" s="15" t="s">
        <v>30</v>
      </c>
      <c r="F29" s="15" t="s">
        <v>19</v>
      </c>
      <c r="G29" s="15" t="s">
        <v>20</v>
      </c>
      <c r="H29" s="15" t="s">
        <v>48</v>
      </c>
      <c r="I29" s="16" t="s">
        <v>51</v>
      </c>
    </row>
    <row r="30" spans="1:9" ht="22.5" customHeight="1" x14ac:dyDescent="0.25">
      <c r="A30" s="17" t="s">
        <v>11</v>
      </c>
      <c r="B30" s="17" t="s">
        <v>12</v>
      </c>
      <c r="C30" s="17">
        <v>1</v>
      </c>
      <c r="D30" s="17">
        <v>2</v>
      </c>
      <c r="E30" s="17">
        <v>3</v>
      </c>
      <c r="F30" s="17">
        <v>4</v>
      </c>
      <c r="G30" s="17">
        <v>5</v>
      </c>
      <c r="H30" s="17">
        <v>6</v>
      </c>
      <c r="I30" s="17">
        <v>7</v>
      </c>
    </row>
    <row r="31" spans="1:9" ht="26.1" customHeight="1" x14ac:dyDescent="0.25">
      <c r="A31" s="8">
        <v>1</v>
      </c>
      <c r="B31" s="6" t="s">
        <v>6</v>
      </c>
      <c r="C31" s="5">
        <v>100</v>
      </c>
      <c r="D31" s="5">
        <v>100</v>
      </c>
      <c r="E31" s="5">
        <v>100</v>
      </c>
      <c r="F31" s="5">
        <v>100</v>
      </c>
      <c r="G31" s="5">
        <v>100</v>
      </c>
      <c r="H31" s="5">
        <v>100</v>
      </c>
      <c r="I31" s="5">
        <v>100</v>
      </c>
    </row>
    <row r="32" spans="1:9" ht="26.1" customHeight="1" x14ac:dyDescent="0.25">
      <c r="A32" s="8">
        <v>2</v>
      </c>
      <c r="B32" s="18" t="s">
        <v>22</v>
      </c>
      <c r="C32" s="8">
        <f>IF(C7 =0,0,ROUND(C8/C7*100,2))</f>
        <v>0</v>
      </c>
      <c r="D32" s="8">
        <f t="shared" ref="D32:I32" si="1">IF(D7 =0,0,ROUND(D8/D7*100,2))</f>
        <v>0</v>
      </c>
      <c r="E32" s="8">
        <f t="shared" si="1"/>
        <v>0</v>
      </c>
      <c r="F32" s="8">
        <f t="shared" si="1"/>
        <v>0</v>
      </c>
      <c r="G32" s="8">
        <f t="shared" si="1"/>
        <v>0</v>
      </c>
      <c r="H32" s="8">
        <f t="shared" si="1"/>
        <v>0</v>
      </c>
      <c r="I32" s="8">
        <f t="shared" si="1"/>
        <v>0</v>
      </c>
    </row>
    <row r="33" spans="1:9" ht="26.1" customHeight="1" x14ac:dyDescent="0.25">
      <c r="A33" s="8">
        <v>3</v>
      </c>
      <c r="B33" s="18" t="s">
        <v>23</v>
      </c>
      <c r="C33" s="8">
        <f>IF(C7 =0,0,ROUND(C9/C7*100,2))</f>
        <v>0</v>
      </c>
      <c r="D33" s="8">
        <f t="shared" ref="D33:H33" si="2">IF(D7 =0,0,ROUND(D9/D7*100,2))</f>
        <v>0</v>
      </c>
      <c r="E33" s="8">
        <f t="shared" si="2"/>
        <v>0</v>
      </c>
      <c r="F33" s="8">
        <f t="shared" si="2"/>
        <v>0</v>
      </c>
      <c r="G33" s="8">
        <f t="shared" si="2"/>
        <v>0</v>
      </c>
      <c r="H33" s="8">
        <f t="shared" si="2"/>
        <v>0</v>
      </c>
      <c r="I33" s="8">
        <f t="shared" ref="I33" si="3">IF(I7=0,0,ROUND(I9/I7*100,2))</f>
        <v>0</v>
      </c>
    </row>
    <row r="34" spans="1:9" ht="26.1" customHeight="1" x14ac:dyDescent="0.25">
      <c r="A34" s="8">
        <v>4</v>
      </c>
      <c r="B34" s="18" t="s">
        <v>0</v>
      </c>
      <c r="C34" s="8">
        <f>IF(C7 =0,0,ROUND(C10/C7*100,2))</f>
        <v>0</v>
      </c>
      <c r="D34" s="8">
        <f t="shared" ref="D34:I34" si="4">IF(D7 =0,0,ROUND(D10/D7*100,2))</f>
        <v>0</v>
      </c>
      <c r="E34" s="8">
        <f t="shared" si="4"/>
        <v>0</v>
      </c>
      <c r="F34" s="8">
        <f t="shared" si="4"/>
        <v>0</v>
      </c>
      <c r="G34" s="8">
        <f t="shared" si="4"/>
        <v>0</v>
      </c>
      <c r="H34" s="8">
        <f t="shared" si="4"/>
        <v>0</v>
      </c>
      <c r="I34" s="8">
        <f t="shared" si="4"/>
        <v>0</v>
      </c>
    </row>
    <row r="35" spans="1:9" ht="26.1" customHeight="1" x14ac:dyDescent="0.25">
      <c r="A35" s="8">
        <v>5</v>
      </c>
      <c r="B35" s="18" t="s">
        <v>24</v>
      </c>
      <c r="C35" s="8">
        <f>IF(C7 =0,0,ROUND(C11/C7*100,2))</f>
        <v>0</v>
      </c>
      <c r="D35" s="8">
        <f t="shared" ref="D35:I35" si="5">IF(D7 =0,0,ROUND(D11/D7*100,2))</f>
        <v>0</v>
      </c>
      <c r="E35" s="8">
        <f t="shared" si="5"/>
        <v>0</v>
      </c>
      <c r="F35" s="8">
        <f t="shared" si="5"/>
        <v>0</v>
      </c>
      <c r="G35" s="8">
        <f t="shared" si="5"/>
        <v>0</v>
      </c>
      <c r="H35" s="8">
        <f t="shared" si="5"/>
        <v>0</v>
      </c>
      <c r="I35" s="8">
        <f t="shared" si="5"/>
        <v>0</v>
      </c>
    </row>
    <row r="36" spans="1:9" ht="26.1" customHeight="1" x14ac:dyDescent="0.25">
      <c r="A36" s="8">
        <v>6</v>
      </c>
      <c r="B36" s="18" t="s">
        <v>25</v>
      </c>
      <c r="C36" s="8">
        <f>IF(C7 =0,0,ROUND(C12/C7*100,2))</f>
        <v>0</v>
      </c>
      <c r="D36" s="8">
        <f t="shared" ref="D36:I36" si="6">IF(D7 =0,0,ROUND(D12/D7*100,2))</f>
        <v>0</v>
      </c>
      <c r="E36" s="8">
        <f t="shared" si="6"/>
        <v>0</v>
      </c>
      <c r="F36" s="8">
        <f t="shared" si="6"/>
        <v>0</v>
      </c>
      <c r="G36" s="8">
        <f t="shared" si="6"/>
        <v>0</v>
      </c>
      <c r="H36" s="8">
        <f t="shared" si="6"/>
        <v>0</v>
      </c>
      <c r="I36" s="8">
        <f t="shared" si="6"/>
        <v>0</v>
      </c>
    </row>
    <row r="37" spans="1:9" ht="26.1" customHeight="1" x14ac:dyDescent="0.25">
      <c r="A37" s="8">
        <v>7</v>
      </c>
      <c r="B37" s="18" t="s">
        <v>26</v>
      </c>
      <c r="C37" s="8">
        <f>IF(C7 =0,0,ROUND(C13/C7*100,2))</f>
        <v>0</v>
      </c>
      <c r="D37" s="8">
        <f t="shared" ref="D37:I37" si="7">IF(D7 =0,0,ROUND(D13/D7*100,2))</f>
        <v>0</v>
      </c>
      <c r="E37" s="8">
        <f t="shared" si="7"/>
        <v>0</v>
      </c>
      <c r="F37" s="8">
        <f t="shared" si="7"/>
        <v>0</v>
      </c>
      <c r="G37" s="8">
        <f t="shared" si="7"/>
        <v>0</v>
      </c>
      <c r="H37" s="8">
        <f t="shared" si="7"/>
        <v>0</v>
      </c>
      <c r="I37" s="8">
        <f t="shared" si="7"/>
        <v>0</v>
      </c>
    </row>
    <row r="38" spans="1:9" ht="26.1" customHeight="1" x14ac:dyDescent="0.25">
      <c r="A38" s="8">
        <v>8</v>
      </c>
      <c r="B38" s="18" t="s">
        <v>27</v>
      </c>
      <c r="C38" s="8">
        <f>IF(C7 =0,0,ROUND(C14/C7*100,2))</f>
        <v>0</v>
      </c>
      <c r="D38" s="8">
        <f t="shared" ref="D38:I38" si="8">IF(D7 =0,0,ROUND(D14/D7*100,2))</f>
        <v>0</v>
      </c>
      <c r="E38" s="8">
        <f t="shared" si="8"/>
        <v>0</v>
      </c>
      <c r="F38" s="8">
        <f t="shared" si="8"/>
        <v>0</v>
      </c>
      <c r="G38" s="8">
        <f t="shared" si="8"/>
        <v>0</v>
      </c>
      <c r="H38" s="8">
        <f t="shared" si="8"/>
        <v>0</v>
      </c>
      <c r="I38" s="8">
        <f t="shared" si="8"/>
        <v>0</v>
      </c>
    </row>
    <row r="39" spans="1:9" ht="26.1" customHeight="1" x14ac:dyDescent="0.25">
      <c r="A39" s="8">
        <v>9</v>
      </c>
      <c r="B39" s="18" t="s">
        <v>28</v>
      </c>
      <c r="C39" s="8">
        <f>IF(C7 =0,0,ROUND(C15/C7*100,2))</f>
        <v>0</v>
      </c>
      <c r="D39" s="8">
        <f t="shared" ref="D39:I39" si="9">IF(D7 =0,0,ROUND(D15/D7*100,2))</f>
        <v>0</v>
      </c>
      <c r="E39" s="8">
        <f t="shared" si="9"/>
        <v>0</v>
      </c>
      <c r="F39" s="8">
        <f t="shared" si="9"/>
        <v>0</v>
      </c>
      <c r="G39" s="8">
        <f t="shared" si="9"/>
        <v>0</v>
      </c>
      <c r="H39" s="8">
        <f t="shared" si="9"/>
        <v>0</v>
      </c>
      <c r="I39" s="8">
        <f t="shared" si="9"/>
        <v>0</v>
      </c>
    </row>
    <row r="40" spans="1:9" ht="26.1" customHeight="1" x14ac:dyDescent="0.25">
      <c r="A40" s="8">
        <v>10</v>
      </c>
      <c r="B40" s="18" t="s">
        <v>29</v>
      </c>
      <c r="C40" s="8">
        <f>IF(C15 =0,0,ROUND(C16/C7*100,2))</f>
        <v>0</v>
      </c>
      <c r="D40" s="8">
        <f t="shared" ref="D40:H40" si="10">IF(D15 =0,0,ROUND(D16/D7*100,2))</f>
        <v>0</v>
      </c>
      <c r="E40" s="8">
        <f t="shared" si="10"/>
        <v>0</v>
      </c>
      <c r="F40" s="8">
        <f t="shared" si="10"/>
        <v>0</v>
      </c>
      <c r="G40" s="8">
        <f t="shared" si="10"/>
        <v>0</v>
      </c>
      <c r="H40" s="8">
        <f t="shared" si="10"/>
        <v>0</v>
      </c>
      <c r="I40" s="8">
        <f t="shared" ref="I40" si="11">IF(I7=0,0,ROUND(I16/I7*100,2))</f>
        <v>0</v>
      </c>
    </row>
    <row r="41" spans="1:9" ht="26.1" customHeight="1" x14ac:dyDescent="0.25">
      <c r="A41" s="8">
        <v>11</v>
      </c>
      <c r="B41" s="18" t="s">
        <v>1</v>
      </c>
      <c r="C41" s="8">
        <f>IF(C7 =0,0,ROUND(C17/C16*100,2))</f>
        <v>0</v>
      </c>
      <c r="D41" s="8">
        <f>IF(D7 =0,0,ROUND(D17/D7*100,2))</f>
        <v>0</v>
      </c>
      <c r="E41" s="8">
        <f t="shared" ref="E41:H41" si="12">IF(E7 =0,0,ROUND(E17/E7*100,2))</f>
        <v>0</v>
      </c>
      <c r="F41" s="8">
        <f t="shared" si="12"/>
        <v>0</v>
      </c>
      <c r="G41" s="8">
        <f t="shared" si="12"/>
        <v>0</v>
      </c>
      <c r="H41" s="8">
        <f t="shared" si="12"/>
        <v>0</v>
      </c>
      <c r="I41" s="8">
        <f t="shared" ref="I41" si="13">IF(I7=0,0,ROUND(I17/I7*100,2))</f>
        <v>0</v>
      </c>
    </row>
    <row r="42" spans="1:9" ht="26.1" customHeight="1" x14ac:dyDescent="0.25">
      <c r="A42" s="8">
        <v>12</v>
      </c>
      <c r="B42" s="18" t="s">
        <v>2</v>
      </c>
      <c r="C42" s="8">
        <f>IF(C7 =0,0,ROUND(C18/C7*100,2))</f>
        <v>0</v>
      </c>
      <c r="D42" s="8">
        <f t="shared" ref="D42:I42" si="14">IF(D7 =0,0,ROUND(D18/D7*100,2))</f>
        <v>0</v>
      </c>
      <c r="E42" s="8">
        <f t="shared" si="14"/>
        <v>0</v>
      </c>
      <c r="F42" s="8">
        <f t="shared" si="14"/>
        <v>0</v>
      </c>
      <c r="G42" s="8">
        <f t="shared" si="14"/>
        <v>0</v>
      </c>
      <c r="H42" s="8">
        <f t="shared" si="14"/>
        <v>0</v>
      </c>
      <c r="I42" s="8">
        <f t="shared" si="14"/>
        <v>0</v>
      </c>
    </row>
    <row r="43" spans="1:9" ht="26.1" customHeight="1" x14ac:dyDescent="0.25">
      <c r="A43" s="8">
        <v>13</v>
      </c>
      <c r="B43" s="18" t="s">
        <v>3</v>
      </c>
      <c r="C43" s="8">
        <f>IF(C7 =0,0,ROUND(C19/C7*100,2))</f>
        <v>0</v>
      </c>
      <c r="D43" s="8">
        <f t="shared" ref="D43:I43" si="15">IF(D7 =0,0,ROUND(D19/D7*100,2))</f>
        <v>0</v>
      </c>
      <c r="E43" s="8">
        <f t="shared" si="15"/>
        <v>0</v>
      </c>
      <c r="F43" s="8">
        <f t="shared" si="15"/>
        <v>0</v>
      </c>
      <c r="G43" s="8">
        <f t="shared" si="15"/>
        <v>0</v>
      </c>
      <c r="H43" s="8">
        <f t="shared" si="15"/>
        <v>0</v>
      </c>
      <c r="I43" s="8">
        <f t="shared" si="15"/>
        <v>0</v>
      </c>
    </row>
    <row r="44" spans="1:9" ht="26.1" customHeight="1" x14ac:dyDescent="0.25">
      <c r="A44" s="8">
        <v>14</v>
      </c>
      <c r="B44" s="19" t="s">
        <v>51</v>
      </c>
      <c r="C44" s="8">
        <f>IF(C7 =0,0,ROUND(C20/C7*100,2))</f>
        <v>0</v>
      </c>
      <c r="D44" s="8">
        <f t="shared" ref="D44:H44" si="16">IF(D7 =0,0,ROUND(D20/D7*100,2))</f>
        <v>0</v>
      </c>
      <c r="E44" s="8">
        <f t="shared" si="16"/>
        <v>0</v>
      </c>
      <c r="F44" s="8">
        <f t="shared" si="16"/>
        <v>0</v>
      </c>
      <c r="G44" s="8">
        <f t="shared" si="16"/>
        <v>0</v>
      </c>
      <c r="H44" s="8">
        <f t="shared" si="16"/>
        <v>0</v>
      </c>
      <c r="I44" s="8">
        <f t="shared" ref="I44" si="17">IF(I7=0,0,ROUND(I20/I7*100,2))</f>
        <v>0</v>
      </c>
    </row>
  </sheetData>
  <mergeCells count="6">
    <mergeCell ref="A4:A5"/>
    <mergeCell ref="B4:B5"/>
    <mergeCell ref="A28:A29"/>
    <mergeCell ref="B28:B29"/>
    <mergeCell ref="C28:I28"/>
    <mergeCell ref="C4:I4"/>
  </mergeCells>
  <pageMargins left="0.7" right="0.4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 so 11a</vt:lpstr>
      <vt:lpstr>Bieu so 12a</vt:lpstr>
      <vt:lpstr>Bieu so 13a,b</vt:lpstr>
      <vt:lpstr>Bieu so 14a,b</vt:lpstr>
      <vt:lpstr>Bieu so 15a,b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Administrator</cp:lastModifiedBy>
  <cp:lastPrinted>2021-07-30T10:42:56Z</cp:lastPrinted>
  <dcterms:created xsi:type="dcterms:W3CDTF">2012-02-08T07:13:29Z</dcterms:created>
  <dcterms:modified xsi:type="dcterms:W3CDTF">2021-07-30T10:43:15Z</dcterms:modified>
</cp:coreProperties>
</file>