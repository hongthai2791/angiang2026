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DA_2019\2.ASXH\Code\api\analy\"/>
    </mc:Choice>
  </mc:AlternateContent>
  <xr:revisionPtr revIDLastSave="0" documentId="13_ncr:1_{3992C4F3-0F7E-4270-90A8-92BAB3AA8D3B}" xr6:coauthVersionLast="45" xr6:coauthVersionMax="45" xr10:uidLastSave="{00000000-0000-0000-0000-000000000000}"/>
  <bookViews>
    <workbookView xWindow="-120" yWindow="-120" windowWidth="21840" windowHeight="13140" xr2:uid="{84E7B869-43B5-437F-A5CF-59568456A279}"/>
  </bookViews>
  <sheets>
    <sheet name="DS15+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4" i="1" l="1"/>
  <c r="C7" i="1"/>
  <c r="C4" i="1"/>
  <c r="H5" i="1"/>
  <c r="C20" i="1"/>
  <c r="C18" i="1"/>
  <c r="C16" i="1"/>
  <c r="C12" i="1"/>
  <c r="C10" i="1"/>
  <c r="H6" i="1"/>
  <c r="H3" i="1"/>
  <c r="H8" i="1"/>
  <c r="C8" i="1"/>
  <c r="C5" i="1"/>
  <c r="C2" i="1"/>
  <c r="H7" i="1"/>
  <c r="H4" i="1"/>
  <c r="C19" i="1"/>
  <c r="C17" i="1"/>
  <c r="C15" i="1"/>
  <c r="C13" i="1"/>
  <c r="C11" i="1"/>
  <c r="C9" i="1"/>
  <c r="C6" i="1"/>
  <c r="C3" i="1"/>
  <c r="E14" i="1"/>
  <c r="H2" i="1"/>
  <c r="D14" i="1"/>
  <c r="E3" i="1" l="1"/>
  <c r="E11" i="1"/>
  <c r="E17" i="1"/>
  <c r="E5" i="1"/>
  <c r="D12" i="1"/>
  <c r="D20" i="1"/>
  <c r="D3" i="1"/>
  <c r="D11" i="1"/>
  <c r="D17" i="1"/>
  <c r="D5" i="1"/>
  <c r="E12" i="1"/>
  <c r="E20" i="1"/>
  <c r="E13" i="1"/>
  <c r="E8" i="1"/>
  <c r="D16" i="1"/>
  <c r="D6" i="1"/>
  <c r="D13" i="1"/>
  <c r="D8" i="1"/>
  <c r="E16" i="1"/>
  <c r="E9" i="1"/>
  <c r="E2" i="1"/>
  <c r="D18" i="1"/>
  <c r="D9" i="1"/>
  <c r="E10" i="1"/>
  <c r="D7" i="1"/>
  <c r="E6" i="1"/>
  <c r="E19" i="1"/>
  <c r="D4" i="1"/>
  <c r="D19" i="1"/>
  <c r="E4" i="1"/>
  <c r="E15" i="1"/>
  <c r="D10" i="1"/>
  <c r="E7" i="1"/>
  <c r="D15" i="1"/>
  <c r="D2" i="1"/>
  <c r="E18" i="1"/>
</calcChain>
</file>

<file path=xl/sharedStrings.xml><?xml version="1.0" encoding="utf-8"?>
<sst xmlns="http://schemas.openxmlformats.org/spreadsheetml/2006/main" count="14" uniqueCount="14">
  <si>
    <t>NĂM</t>
  </si>
  <si>
    <t>DAN SO 15+</t>
  </si>
  <si>
    <t>Forecast(DAN SO 15+)</t>
  </si>
  <si>
    <t>Lower Confidence Bound(DAN SO 15+)</t>
  </si>
  <si>
    <t>Upper Confidence Bound(DAN SO 15+)</t>
  </si>
  <si>
    <t>Statistic</t>
  </si>
  <si>
    <t>Value</t>
  </si>
  <si>
    <t>Alpha</t>
  </si>
  <si>
    <t>Beta</t>
  </si>
  <si>
    <t>Gamma</t>
  </si>
  <si>
    <t>MASE</t>
  </si>
  <si>
    <t>SMAPE</t>
  </si>
  <si>
    <t>MAE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</si>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</sst>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164" formatCode="#,##0.0"/>
    </dxf>
    <dxf>
      <numFmt numFmtId="164" formatCode="#,##0.0"/>
    </dxf>
    <dxf>
      <numFmt numFmtId="164" formatCode="#,##0.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233021-39C4-4954-9016-72C862032327}" name="Table1" displayName="Table1" ref="A1:E20" totalsRowShown="0">
  <autoFilter ref="A1:E20" xr:uid="{3ACCEAF8-E950-47A7-91A6-97562C9324CB}"/>
  <tableColumns count="5">
    <tableColumn id="1" xr3:uid="{82825B28-5607-4557-A931-282B2AC69FCF}" name="NĂM" dataDxfId="4"/>
    <tableColumn id="2" xr3:uid="{22B94BDB-D7A1-4857-B534-D6E286091079}" name="DAN SO 15+"/>
    <tableColumn id="3" xr3:uid="{3B6338D2-8258-4D72-835B-93A3C50787BD}" name="Forecast(DAN SO 15+)" dataDxfId="3">
      <calculatedColumnFormula>_xlfn.FORECAST.ETS(A2,$B$2:$B$13,$A$2:$A$13,1,1)</calculatedColumnFormula>
    </tableColumn>
    <tableColumn id="4" xr3:uid="{C81BB5CA-AC4A-4C9D-AEB8-EA1BAB5570E9}" name="Lower Confidence Bound(DAN SO 15+)" dataDxfId="2">
      <calculatedColumnFormula>C2-_xlfn.FORECAST.ETS.CONFINT(A2,$B$2:$B$13,$A$2:$A$13,0.95,1,1)</calculatedColumnFormula>
    </tableColumn>
    <tableColumn id="5" xr3:uid="{8C0217B0-6F8A-4AAD-AB2B-31627FB6CF98}" name="Upper Confidence Bound(DAN SO 15+)" dataDxfId="1">
      <calculatedColumnFormula>C2+_xlfn.FORECAST.ETS.CONFINT(A2,$B$2:$B$13,$A$2:$A$13,0.95,1,1)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7FF76D-226E-4D40-A373-09FE2DDFE681}" name="Table2" displayName="Table2" ref="G1:H8" totalsRowShown="0">
  <autoFilter ref="G1:H8" xr:uid="{81537159-0E66-443F-993D-C692B5083454}"/>
  <tableColumns count="2">
    <tableColumn id="1" xr3:uid="{FEEB59DD-C32D-455E-A615-6ACED80A0443}" name="Statistic"/>
    <tableColumn id="2" xr3:uid="{01BB4CD7-2647-4C68-9364-6EDA7C3332E5}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3E13-48C8-470C-9575-C3717B816D8F}">
  <dimension ref="A1:H20"/>
  <sheetViews>
    <sheetView tabSelected="1" workbookViewId="0">
      <selection activeCell="C14" sqref="C14"/>
    </sheetView>
  </sheetViews>
  <sheetFormatPr defaultRowHeight="15" x14ac:dyDescent="0.25"/>
  <cols>
    <col min="3" max="3" width="18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</row>
    <row r="2" spans="1:8" x14ac:dyDescent="0.25">
      <c r="A2">
        <v>2007</v>
      </c>
      <c r="B2" s="1">
        <v>847.5</v>
      </c>
      <c r="C2">
        <f t="shared" ref="C2:C20" si="0">_xlfn.FORECAST.ETS(A2,$B$2:$B$13,$A$2:$A$13,1,1)</f>
        <v>847.49827621084705</v>
      </c>
      <c r="D2" t="e">
        <f t="shared" ref="D2:D20" si="1">C2-_xlfn.FORECAST.ETS.CONFINT(A2,$B$2:$B$13,$A$2:$A$13,0.95,1,1)</f>
        <v>#NUM!</v>
      </c>
      <c r="E2" t="e">
        <f t="shared" ref="E2:E20" si="2">C2+_xlfn.FORECAST.ETS.CONFINT(A2,$B$2:$B$13,$A$2:$A$13,0.95,1,1)</f>
        <v>#NUM!</v>
      </c>
      <c r="G2" t="s">
        <v>7</v>
      </c>
      <c r="H2" s="2">
        <f>_xlfn.FORECAST.ETS.STAT($B$2:$B$13,$A$2:$A$13,1,1,1)</f>
        <v>2E-3</v>
      </c>
    </row>
    <row r="3" spans="1:8" x14ac:dyDescent="0.25">
      <c r="A3">
        <v>2008</v>
      </c>
      <c r="B3" s="1">
        <v>868.8</v>
      </c>
      <c r="C3">
        <f t="shared" si="0"/>
        <v>871.22864259257597</v>
      </c>
      <c r="D3" t="e">
        <f t="shared" si="1"/>
        <v>#NUM!</v>
      </c>
      <c r="E3" t="e">
        <f t="shared" si="2"/>
        <v>#NUM!</v>
      </c>
      <c r="G3" t="s">
        <v>8</v>
      </c>
      <c r="H3" s="2">
        <f>_xlfn.FORECAST.ETS.STAT($B$2:$B$13,$A$2:$A$13,2,1,1)</f>
        <v>1E-3</v>
      </c>
    </row>
    <row r="4" spans="1:8" x14ac:dyDescent="0.25">
      <c r="A4">
        <v>2009</v>
      </c>
      <c r="B4" s="1">
        <v>894.5</v>
      </c>
      <c r="C4">
        <f t="shared" si="0"/>
        <v>894.95900897430477</v>
      </c>
      <c r="D4" t="e">
        <f t="shared" si="1"/>
        <v>#NUM!</v>
      </c>
      <c r="E4" t="e">
        <f t="shared" si="2"/>
        <v>#NUM!</v>
      </c>
      <c r="G4" t="s">
        <v>9</v>
      </c>
      <c r="H4" s="2">
        <f>_xlfn.FORECAST.ETS.STAT($B$2:$B$13,$A$2:$A$13,3,1,1)</f>
        <v>2.2204460492503131E-16</v>
      </c>
    </row>
    <row r="5" spans="1:8" x14ac:dyDescent="0.25">
      <c r="A5">
        <v>2010</v>
      </c>
      <c r="B5" s="1">
        <v>922.7</v>
      </c>
      <c r="C5">
        <f t="shared" si="0"/>
        <v>918.68937535603368</v>
      </c>
      <c r="D5" t="e">
        <f t="shared" si="1"/>
        <v>#NUM!</v>
      </c>
      <c r="E5" t="e">
        <f t="shared" si="2"/>
        <v>#NUM!</v>
      </c>
      <c r="G5" t="s">
        <v>10</v>
      </c>
      <c r="H5" s="2">
        <f>_xlfn.FORECAST.ETS.STAT($B$2:$B$13,$A$2:$A$13,4,1,1)</f>
        <v>8.4453528216351659E-2</v>
      </c>
    </row>
    <row r="6" spans="1:8" x14ac:dyDescent="0.25">
      <c r="A6">
        <v>2011</v>
      </c>
      <c r="B6" s="1">
        <v>946</v>
      </c>
      <c r="C6">
        <f t="shared" si="0"/>
        <v>942.41974173776248</v>
      </c>
      <c r="D6" t="e">
        <f t="shared" si="1"/>
        <v>#NUM!</v>
      </c>
      <c r="E6" t="e">
        <f t="shared" si="2"/>
        <v>#NUM!</v>
      </c>
      <c r="G6" t="s">
        <v>11</v>
      </c>
      <c r="H6" s="2">
        <f>_xlfn.FORECAST.ETS.STAT($B$2:$B$13,$A$2:$A$13,5,1,1)</f>
        <v>2.1058834067033331E-3</v>
      </c>
    </row>
    <row r="7" spans="1:8" x14ac:dyDescent="0.25">
      <c r="A7">
        <v>2012</v>
      </c>
      <c r="B7" s="1">
        <v>966.3</v>
      </c>
      <c r="C7">
        <f t="shared" si="0"/>
        <v>966.15010811949139</v>
      </c>
      <c r="D7" t="e">
        <f t="shared" si="1"/>
        <v>#NUM!</v>
      </c>
      <c r="E7" t="e">
        <f t="shared" si="2"/>
        <v>#NUM!</v>
      </c>
      <c r="G7" t="s">
        <v>12</v>
      </c>
      <c r="H7" s="2">
        <f>_xlfn.FORECAST.ETS.STAT($B$2:$B$13,$A$2:$A$13,6,1,1)</f>
        <v>1.9607294134229636</v>
      </c>
    </row>
    <row r="8" spans="1:8" x14ac:dyDescent="0.25">
      <c r="A8">
        <v>2013</v>
      </c>
      <c r="B8" s="1">
        <v>986.8</v>
      </c>
      <c r="C8">
        <f t="shared" si="0"/>
        <v>989.88047450122019</v>
      </c>
      <c r="D8" t="e">
        <f t="shared" si="1"/>
        <v>#NUM!</v>
      </c>
      <c r="E8" t="e">
        <f t="shared" si="2"/>
        <v>#NUM!</v>
      </c>
      <c r="G8" t="s">
        <v>13</v>
      </c>
      <c r="H8" s="2">
        <f>_xlfn.FORECAST.ETS.STAT($B$2:$B$13,$A$2:$A$13,7,1,1)</f>
        <v>2.5276622931125701</v>
      </c>
    </row>
    <row r="9" spans="1:8" x14ac:dyDescent="0.25">
      <c r="A9">
        <v>2014</v>
      </c>
      <c r="B9" s="1"/>
      <c r="C9">
        <f t="shared" si="0"/>
        <v>1013.610840882949</v>
      </c>
      <c r="D9">
        <f t="shared" si="1"/>
        <v>1008.6567138233685</v>
      </c>
      <c r="E9">
        <f t="shared" si="2"/>
        <v>1018.5649679425295</v>
      </c>
    </row>
    <row r="10" spans="1:8" x14ac:dyDescent="0.25">
      <c r="A10">
        <v>2015</v>
      </c>
      <c r="B10" s="1"/>
      <c r="C10">
        <f t="shared" si="0"/>
        <v>1037.3412072646779</v>
      </c>
      <c r="D10">
        <f t="shared" si="1"/>
        <v>1032.3870579115758</v>
      </c>
      <c r="E10">
        <f t="shared" si="2"/>
        <v>1042.29535661778</v>
      </c>
    </row>
    <row r="11" spans="1:8" x14ac:dyDescent="0.25">
      <c r="A11">
        <v>2016</v>
      </c>
      <c r="B11" s="1"/>
      <c r="C11">
        <f t="shared" si="0"/>
        <v>1061.0715736464067</v>
      </c>
      <c r="D11">
        <f t="shared" si="1"/>
        <v>1056.117384660625</v>
      </c>
      <c r="E11">
        <f t="shared" si="2"/>
        <v>1066.0257626321884</v>
      </c>
    </row>
    <row r="12" spans="1:8" x14ac:dyDescent="0.25">
      <c r="A12">
        <v>2017</v>
      </c>
      <c r="B12" s="1"/>
      <c r="C12">
        <f t="shared" si="0"/>
        <v>1084.8019400281355</v>
      </c>
      <c r="D12">
        <f t="shared" si="1"/>
        <v>1079.8476891169266</v>
      </c>
      <c r="E12">
        <f t="shared" si="2"/>
        <v>1089.7561909393444</v>
      </c>
    </row>
    <row r="13" spans="1:8" x14ac:dyDescent="0.25">
      <c r="A13">
        <v>2018</v>
      </c>
      <c r="B13" s="1"/>
      <c r="C13" s="1">
        <f t="shared" si="0"/>
        <v>1108.5323064098645</v>
      </c>
      <c r="D13" s="1">
        <f t="shared" si="1"/>
        <v>1103.5779663274002</v>
      </c>
      <c r="E13" s="1">
        <f t="shared" si="2"/>
        <v>1113.4866464923289</v>
      </c>
    </row>
    <row r="14" spans="1:8" x14ac:dyDescent="0.25">
      <c r="A14">
        <v>2019</v>
      </c>
      <c r="C14" s="1">
        <f t="shared" si="0"/>
        <v>1132.2626727915933</v>
      </c>
      <c r="D14" s="1">
        <f t="shared" si="1"/>
        <v>1127.3082113397215</v>
      </c>
      <c r="E14" s="1">
        <f t="shared" si="2"/>
        <v>1137.2171342434651</v>
      </c>
      <c r="G14" s="1"/>
    </row>
    <row r="15" spans="1:8" x14ac:dyDescent="0.25">
      <c r="A15">
        <v>2020</v>
      </c>
      <c r="C15" s="1">
        <f t="shared" si="0"/>
        <v>1155.9930391733221</v>
      </c>
      <c r="D15" s="1">
        <f t="shared" si="1"/>
        <v>1151.0384192026202</v>
      </c>
      <c r="E15" s="1">
        <f t="shared" si="2"/>
        <v>1160.9476591440241</v>
      </c>
      <c r="G15" s="1"/>
    </row>
    <row r="16" spans="1:8" x14ac:dyDescent="0.25">
      <c r="A16">
        <v>2021</v>
      </c>
      <c r="C16" s="1">
        <f t="shared" si="0"/>
        <v>1179.7234055550509</v>
      </c>
      <c r="D16" s="1">
        <f t="shared" si="1"/>
        <v>1174.7685849662257</v>
      </c>
      <c r="E16" s="1">
        <f t="shared" si="2"/>
        <v>1184.6782261438761</v>
      </c>
      <c r="G16" s="1"/>
    </row>
    <row r="17" spans="1:7" x14ac:dyDescent="0.25">
      <c r="A17">
        <v>2022</v>
      </c>
      <c r="C17" s="1">
        <f t="shared" si="0"/>
        <v>1203.45377193678</v>
      </c>
      <c r="D17" s="1">
        <f t="shared" si="1"/>
        <v>1198.498703682463</v>
      </c>
      <c r="E17" s="1">
        <f t="shared" si="2"/>
        <v>1208.4088401910969</v>
      </c>
      <c r="G17" s="1"/>
    </row>
    <row r="18" spans="1:7" x14ac:dyDescent="0.25">
      <c r="A18">
        <v>2023</v>
      </c>
      <c r="C18" s="1">
        <f t="shared" si="0"/>
        <v>1227.1841383185088</v>
      </c>
      <c r="D18" s="1">
        <f t="shared" si="1"/>
        <v>1222.2287704054972</v>
      </c>
      <c r="E18" s="1">
        <f t="shared" si="2"/>
        <v>1232.1395062315203</v>
      </c>
      <c r="G18" s="1"/>
    </row>
    <row r="19" spans="1:7" x14ac:dyDescent="0.25">
      <c r="A19">
        <v>2024</v>
      </c>
      <c r="C19" s="1">
        <f t="shared" si="0"/>
        <v>1250.9145047002376</v>
      </c>
      <c r="D19" s="1">
        <f t="shared" si="1"/>
        <v>1245.9587801922273</v>
      </c>
      <c r="E19" s="1">
        <f t="shared" si="2"/>
        <v>1255.8702292082478</v>
      </c>
      <c r="G19" s="1"/>
    </row>
    <row r="20" spans="1:7" x14ac:dyDescent="0.25">
      <c r="A20">
        <v>2025</v>
      </c>
      <c r="C20" s="1">
        <f t="shared" si="0"/>
        <v>1274.6448710819664</v>
      </c>
      <c r="D20" s="1">
        <f t="shared" si="1"/>
        <v>1269.6887281028287</v>
      </c>
      <c r="E20" s="1">
        <f t="shared" si="2"/>
        <v>1279.601014061104</v>
      </c>
      <c r="G20" s="1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DS15+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2019-11-02T06:54:05Z</dcterms:created>
  <dcterms:modified xsi:type="dcterms:W3CDTF">2019-11-02T06:56:11Z</dcterms:modified>
</cp:coreProperties>
</file>